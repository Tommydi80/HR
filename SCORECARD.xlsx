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apastry-my.sharepoint.com/personal/t_dimopoulos_alfapastry_com/Documents/Desktop/"/>
    </mc:Choice>
  </mc:AlternateContent>
  <xr:revisionPtr revIDLastSave="0" documentId="8_{DA6532CD-99F6-4F9C-B9E5-10DDCC83D6AD}" xr6:coauthVersionLast="47" xr6:coauthVersionMax="47" xr10:uidLastSave="{00000000-0000-0000-0000-000000000000}"/>
  <bookViews>
    <workbookView xWindow="-108" yWindow="-108" windowWidth="23256" windowHeight="12456" xr2:uid="{128D26DE-CD54-4DB1-B69C-1E3B7609CA81}"/>
  </bookViews>
  <sheets>
    <sheet name="ΑΣΦΑΛΕΙΑ ΕΡΓΑΖΟΜΕΝΩΝ " sheetId="1" r:id="rId1"/>
    <sheet name="ΠΟΙΟΤΗΤΑ ΠΡΟΪΟΝΤΩΝ" sheetId="2" r:id="rId2"/>
    <sheet name="ΚΑΘΑΡΙΟΤΗΤΕΣ" sheetId="4" state="hidden" r:id="rId3"/>
    <sheet name="ΠΑΡΑΓΩΓΙΚΟΤΗΤΑ V.2" sheetId="5" r:id="rId4"/>
    <sheet name="ΠΑΡΑΓΩΓΙΚΟΤΗΤΑ" sheetId="3" state="hidden" r:id="rId5"/>
  </sheets>
  <externalReferences>
    <externalReference r:id="rId6"/>
  </externalReferenc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2" l="1"/>
  <c r="L62" i="2"/>
  <c r="L61" i="2"/>
  <c r="P60" i="2"/>
  <c r="L60" i="2"/>
  <c r="L59" i="2"/>
  <c r="P58" i="2"/>
  <c r="L58" i="2"/>
  <c r="N58" i="2" s="1"/>
  <c r="N57" i="2"/>
  <c r="L57" i="2"/>
  <c r="C66" i="2"/>
  <c r="B66" i="2"/>
  <c r="D65" i="2"/>
  <c r="D64" i="2"/>
  <c r="D63" i="2"/>
  <c r="D62" i="2"/>
  <c r="D61" i="2"/>
  <c r="D60" i="2"/>
  <c r="D59" i="2"/>
  <c r="D58" i="2"/>
  <c r="D57" i="2"/>
  <c r="D56" i="2"/>
  <c r="D55" i="2"/>
  <c r="D54" i="2"/>
  <c r="N50" i="2"/>
  <c r="M50" i="2"/>
  <c r="L50" i="2"/>
  <c r="C63" i="5"/>
  <c r="C64" i="5"/>
  <c r="C65" i="5"/>
  <c r="C66" i="5"/>
  <c r="C67" i="5"/>
  <c r="C68" i="5"/>
  <c r="C69" i="5"/>
  <c r="C70" i="5"/>
  <c r="C71" i="5"/>
  <c r="C72" i="5"/>
  <c r="C73" i="5"/>
  <c r="C62" i="5"/>
  <c r="K75" i="5"/>
  <c r="J75" i="5"/>
  <c r="I75" i="5"/>
  <c r="F75" i="5"/>
  <c r="D75" i="5"/>
  <c r="B75" i="5"/>
  <c r="N73" i="5"/>
  <c r="M73" i="5"/>
  <c r="L73" i="5"/>
  <c r="G73" i="5"/>
  <c r="H73" i="5" s="1"/>
  <c r="E73" i="5"/>
  <c r="N72" i="5"/>
  <c r="M72" i="5"/>
  <c r="L72" i="5"/>
  <c r="G72" i="5"/>
  <c r="H72" i="5" s="1"/>
  <c r="E72" i="5"/>
  <c r="N71" i="5"/>
  <c r="M71" i="5"/>
  <c r="L71" i="5"/>
  <c r="G71" i="5"/>
  <c r="H71" i="5" s="1"/>
  <c r="E71" i="5"/>
  <c r="N70" i="5"/>
  <c r="M70" i="5"/>
  <c r="L70" i="5"/>
  <c r="G70" i="5"/>
  <c r="H70" i="5" s="1"/>
  <c r="E70" i="5"/>
  <c r="N69" i="5"/>
  <c r="M69" i="5"/>
  <c r="L69" i="5"/>
  <c r="G69" i="5"/>
  <c r="H69" i="5" s="1"/>
  <c r="E69" i="5"/>
  <c r="M68" i="5"/>
  <c r="L68" i="5"/>
  <c r="N68" i="5"/>
  <c r="G68" i="5"/>
  <c r="H68" i="5" s="1"/>
  <c r="E68" i="5"/>
  <c r="N67" i="5"/>
  <c r="M67" i="5"/>
  <c r="L67" i="5"/>
  <c r="G67" i="5"/>
  <c r="H67" i="5" s="1"/>
  <c r="E67" i="5"/>
  <c r="N66" i="5"/>
  <c r="M66" i="5"/>
  <c r="L66" i="5"/>
  <c r="G66" i="5"/>
  <c r="H66" i="5" s="1"/>
  <c r="E66" i="5"/>
  <c r="N65" i="5"/>
  <c r="M65" i="5"/>
  <c r="L65" i="5"/>
  <c r="G65" i="5"/>
  <c r="H65" i="5" s="1"/>
  <c r="E65" i="5"/>
  <c r="N64" i="5"/>
  <c r="M64" i="5"/>
  <c r="L64" i="5"/>
  <c r="G64" i="5"/>
  <c r="H64" i="5" s="1"/>
  <c r="E64" i="5"/>
  <c r="N63" i="5"/>
  <c r="M63" i="5"/>
  <c r="L63" i="5"/>
  <c r="G63" i="5"/>
  <c r="H63" i="5" s="1"/>
  <c r="E63" i="5"/>
  <c r="N62" i="5"/>
  <c r="M62" i="5"/>
  <c r="L62" i="5"/>
  <c r="G62" i="5"/>
  <c r="H62" i="5" s="1"/>
  <c r="E62" i="5"/>
  <c r="C53" i="5"/>
  <c r="C54" i="5"/>
  <c r="E54" i="5"/>
  <c r="G51" i="5"/>
  <c r="G52" i="5"/>
  <c r="H52" i="5" s="1"/>
  <c r="G53" i="5"/>
  <c r="H53" i="5" s="1"/>
  <c r="G54" i="5"/>
  <c r="H54" i="5"/>
  <c r="N53" i="5"/>
  <c r="N54" i="5"/>
  <c r="M54" i="5"/>
  <c r="L54" i="5"/>
  <c r="G67" i="1"/>
  <c r="J66" i="1" s="1"/>
  <c r="F67" i="1"/>
  <c r="H67" i="1" s="1"/>
  <c r="J67" i="1" s="1"/>
  <c r="H66" i="1"/>
  <c r="H65" i="1"/>
  <c r="H64" i="1"/>
  <c r="H63" i="1"/>
  <c r="H62" i="1"/>
  <c r="H61" i="1"/>
  <c r="H60" i="1"/>
  <c r="H59" i="1"/>
  <c r="H58" i="1"/>
  <c r="H57" i="1"/>
  <c r="H56" i="1"/>
  <c r="H55" i="1"/>
  <c r="M53" i="5"/>
  <c r="L53" i="5"/>
  <c r="E53" i="5"/>
  <c r="E52" i="5"/>
  <c r="C52" i="5"/>
  <c r="N52" i="5"/>
  <c r="M52" i="5"/>
  <c r="L52" i="5"/>
  <c r="M75" i="5" l="1"/>
  <c r="D66" i="2"/>
  <c r="I53" i="2" s="1"/>
  <c r="L75" i="5"/>
  <c r="N75" i="5"/>
  <c r="G75" i="5"/>
  <c r="H75" i="5" s="1"/>
  <c r="E75" i="5"/>
  <c r="H51" i="5"/>
  <c r="C51" i="5"/>
  <c r="E51" i="5"/>
  <c r="M51" i="5"/>
  <c r="L51" i="5"/>
  <c r="N51" i="5"/>
  <c r="G50" i="5"/>
  <c r="H50" i="5" s="1"/>
  <c r="N50" i="5"/>
  <c r="M50" i="5"/>
  <c r="L50" i="5"/>
  <c r="C50" i="5"/>
  <c r="E50" i="5"/>
  <c r="H45" i="1"/>
  <c r="H46" i="1"/>
  <c r="H47" i="1"/>
  <c r="H48" i="1"/>
  <c r="H49" i="1"/>
  <c r="H43" i="1"/>
  <c r="H44" i="1"/>
  <c r="D41" i="2"/>
  <c r="D40" i="2"/>
  <c r="D39" i="2"/>
  <c r="D38" i="2"/>
  <c r="N49" i="5"/>
  <c r="M49" i="5"/>
  <c r="L49" i="5"/>
  <c r="G49" i="5"/>
  <c r="H49" i="5" s="1"/>
  <c r="E49" i="5"/>
  <c r="C49" i="5"/>
  <c r="I49" i="5"/>
  <c r="G36" i="5"/>
  <c r="E36" i="5"/>
  <c r="G48" i="5"/>
  <c r="H48" i="5" s="1"/>
  <c r="E48" i="5"/>
  <c r="L48" i="5"/>
  <c r="M48" i="5"/>
  <c r="N48" i="5"/>
  <c r="C48" i="5"/>
  <c r="G47" i="5"/>
  <c r="H47" i="5" s="1"/>
  <c r="E47" i="5"/>
  <c r="L47" i="5"/>
  <c r="M47" i="5"/>
  <c r="N47" i="5"/>
  <c r="C47" i="5"/>
  <c r="H39" i="1"/>
  <c r="H40" i="1"/>
  <c r="H41" i="1"/>
  <c r="H42" i="1"/>
  <c r="H38" i="1"/>
  <c r="C49" i="2"/>
  <c r="B49" i="2"/>
  <c r="G46" i="5"/>
  <c r="H46" i="5" s="1"/>
  <c r="E46" i="5"/>
  <c r="L46" i="5"/>
  <c r="M46" i="5"/>
  <c r="N46" i="5"/>
  <c r="C46" i="5"/>
  <c r="E45" i="5"/>
  <c r="L45" i="5"/>
  <c r="M45" i="5"/>
  <c r="N45" i="5"/>
  <c r="C45" i="5"/>
  <c r="E44" i="5"/>
  <c r="N44" i="5"/>
  <c r="M44" i="5"/>
  <c r="L44" i="5"/>
  <c r="M43" i="5"/>
  <c r="L43" i="5"/>
  <c r="N43" i="5"/>
  <c r="C44" i="5"/>
  <c r="C43" i="5"/>
  <c r="G45" i="5"/>
  <c r="H45" i="5" s="1"/>
  <c r="G50" i="1"/>
  <c r="J49" i="1" s="1"/>
  <c r="D48" i="2"/>
  <c r="D47" i="2"/>
  <c r="D46" i="2"/>
  <c r="P45" i="2"/>
  <c r="L45" i="2"/>
  <c r="D45" i="2"/>
  <c r="L44" i="2"/>
  <c r="D44" i="2"/>
  <c r="P43" i="2"/>
  <c r="L43" i="2"/>
  <c r="D43" i="2"/>
  <c r="L42" i="2"/>
  <c r="D42" i="2"/>
  <c r="P41" i="2"/>
  <c r="L41" i="2"/>
  <c r="N41" i="2" s="1"/>
  <c r="L40" i="2"/>
  <c r="N40" i="2" s="1"/>
  <c r="M33" i="2"/>
  <c r="D37" i="2" l="1"/>
  <c r="F50" i="1"/>
  <c r="H50" i="1" s="1"/>
  <c r="J50" i="1" s="1"/>
  <c r="D49" i="2"/>
  <c r="I36" i="2" s="1"/>
  <c r="N23" i="5" l="1"/>
  <c r="L23" i="5"/>
  <c r="H23" i="5"/>
  <c r="E43" i="5"/>
  <c r="E23" i="5"/>
  <c r="C23" i="5"/>
  <c r="C24" i="5"/>
  <c r="G44" i="5"/>
  <c r="H44" i="5" s="1"/>
  <c r="G43" i="5"/>
  <c r="H43" i="5" s="1"/>
  <c r="H32" i="1"/>
  <c r="H33" i="1"/>
  <c r="B36" i="5"/>
  <c r="G34" i="5"/>
  <c r="H34" i="5"/>
  <c r="E34" i="5"/>
  <c r="I36" i="5"/>
  <c r="J36" i="5"/>
  <c r="K36" i="5"/>
  <c r="M33" i="5"/>
  <c r="N33" i="5"/>
  <c r="M34" i="5"/>
  <c r="N34" i="5"/>
  <c r="L33" i="5"/>
  <c r="L34" i="5"/>
  <c r="K56" i="5"/>
  <c r="J56" i="5"/>
  <c r="I56" i="5"/>
  <c r="F56" i="5"/>
  <c r="D56" i="5"/>
  <c r="B56" i="5"/>
  <c r="N56" i="5"/>
  <c r="M56" i="5"/>
  <c r="L56" i="5"/>
  <c r="F30" i="2"/>
  <c r="F31" i="2"/>
  <c r="E30" i="2"/>
  <c r="E31" i="2"/>
  <c r="D31" i="2"/>
  <c r="D25" i="2"/>
  <c r="D24" i="2"/>
  <c r="D23" i="2"/>
  <c r="D30" i="2"/>
  <c r="D29" i="2"/>
  <c r="D28" i="2"/>
  <c r="D27" i="2"/>
  <c r="D26" i="2"/>
  <c r="D22" i="2"/>
  <c r="D21" i="2"/>
  <c r="D20" i="2"/>
  <c r="C34" i="5"/>
  <c r="C25" i="5"/>
  <c r="C26" i="5"/>
  <c r="C27" i="5"/>
  <c r="C28" i="5"/>
  <c r="C29" i="5"/>
  <c r="C30" i="5"/>
  <c r="C31" i="5"/>
  <c r="C32" i="5"/>
  <c r="C33" i="5"/>
  <c r="F29" i="2"/>
  <c r="E29" i="2"/>
  <c r="H31" i="1"/>
  <c r="G56" i="5" l="1"/>
  <c r="H56" i="5" s="1"/>
  <c r="E56" i="5"/>
  <c r="G33" i="5"/>
  <c r="H33" i="5" s="1"/>
  <c r="E33" i="5"/>
  <c r="L32" i="5"/>
  <c r="M32" i="5"/>
  <c r="N32" i="5"/>
  <c r="G32" i="5"/>
  <c r="H32" i="5" s="1"/>
  <c r="E32" i="5"/>
  <c r="L31" i="5"/>
  <c r="M31" i="5"/>
  <c r="N31" i="5"/>
  <c r="G31" i="5"/>
  <c r="H31" i="5" s="1"/>
  <c r="E31" i="5"/>
  <c r="H30" i="1"/>
  <c r="I16" i="5"/>
  <c r="J16" i="5"/>
  <c r="K16" i="5"/>
  <c r="G16" i="5"/>
  <c r="F16" i="5"/>
  <c r="D16" i="5"/>
  <c r="B16" i="5"/>
  <c r="N4" i="5"/>
  <c r="N5" i="5"/>
  <c r="N6" i="5"/>
  <c r="N7" i="5"/>
  <c r="N8" i="5"/>
  <c r="N9" i="5"/>
  <c r="N10" i="5"/>
  <c r="N11" i="5"/>
  <c r="N12" i="5"/>
  <c r="N13" i="5"/>
  <c r="N14" i="5"/>
  <c r="N3" i="5"/>
  <c r="N16" i="5" s="1"/>
  <c r="M4" i="5"/>
  <c r="M5" i="5"/>
  <c r="M6" i="5"/>
  <c r="M7" i="5"/>
  <c r="M8" i="5"/>
  <c r="M9" i="5"/>
  <c r="M10" i="5"/>
  <c r="M11" i="5"/>
  <c r="M12" i="5"/>
  <c r="M13" i="5"/>
  <c r="M14" i="5"/>
  <c r="M3" i="5"/>
  <c r="M16" i="5" s="1"/>
  <c r="L4" i="5"/>
  <c r="L5" i="5"/>
  <c r="L6" i="5"/>
  <c r="L7" i="5"/>
  <c r="L8" i="5"/>
  <c r="L9" i="5"/>
  <c r="L10" i="5"/>
  <c r="L11" i="5"/>
  <c r="L12" i="5"/>
  <c r="L13" i="5"/>
  <c r="L14" i="5"/>
  <c r="L3" i="5"/>
  <c r="L16" i="5" s="1"/>
  <c r="H3" i="5"/>
  <c r="E4" i="5"/>
  <c r="E5" i="5"/>
  <c r="E6" i="5"/>
  <c r="E7" i="5"/>
  <c r="E8" i="5"/>
  <c r="E9" i="5"/>
  <c r="E10" i="5"/>
  <c r="E11" i="5"/>
  <c r="E12" i="5"/>
  <c r="E13" i="5"/>
  <c r="E14" i="5"/>
  <c r="E3" i="5"/>
  <c r="H4" i="5"/>
  <c r="H5" i="5"/>
  <c r="H6" i="5"/>
  <c r="H7" i="5"/>
  <c r="H8" i="5"/>
  <c r="H9" i="5"/>
  <c r="H10" i="5"/>
  <c r="H11" i="5"/>
  <c r="H12" i="5"/>
  <c r="H13" i="5"/>
  <c r="H14" i="5"/>
  <c r="F36" i="5"/>
  <c r="D36" i="5"/>
  <c r="M30" i="5"/>
  <c r="L30" i="5"/>
  <c r="L24" i="5"/>
  <c r="L36" i="5" s="1"/>
  <c r="M24" i="5"/>
  <c r="N24" i="5"/>
  <c r="L25" i="5"/>
  <c r="M25" i="5"/>
  <c r="N25" i="5"/>
  <c r="L26" i="5"/>
  <c r="M26" i="5"/>
  <c r="N26" i="5"/>
  <c r="L27" i="5"/>
  <c r="M27" i="5"/>
  <c r="N27" i="5"/>
  <c r="L28" i="5"/>
  <c r="M28" i="5"/>
  <c r="N28" i="5"/>
  <c r="L29" i="5"/>
  <c r="M29" i="5"/>
  <c r="N29" i="5"/>
  <c r="N30" i="5"/>
  <c r="P28" i="2"/>
  <c r="L28" i="2"/>
  <c r="L27" i="2"/>
  <c r="P26" i="2"/>
  <c r="L26" i="2"/>
  <c r="L25" i="2"/>
  <c r="P24" i="2"/>
  <c r="N24" i="2"/>
  <c r="L24" i="2"/>
  <c r="L23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F20" i="2"/>
  <c r="E20" i="2"/>
  <c r="C32" i="2"/>
  <c r="H29" i="1"/>
  <c r="M23" i="5"/>
  <c r="H24" i="5"/>
  <c r="H25" i="5"/>
  <c r="H26" i="5"/>
  <c r="H27" i="5"/>
  <c r="H28" i="5"/>
  <c r="H29" i="5"/>
  <c r="H30" i="5"/>
  <c r="E24" i="5"/>
  <c r="E25" i="5"/>
  <c r="E26" i="5"/>
  <c r="E27" i="5"/>
  <c r="E28" i="5"/>
  <c r="E29" i="5"/>
  <c r="E30" i="5"/>
  <c r="H28" i="1"/>
  <c r="H27" i="1"/>
  <c r="H26" i="1"/>
  <c r="F25" i="1"/>
  <c r="H25" i="1" s="1"/>
  <c r="G34" i="1"/>
  <c r="H24" i="1"/>
  <c r="H23" i="1"/>
  <c r="H22" i="1"/>
  <c r="I15" i="1"/>
  <c r="K16" i="1" s="1"/>
  <c r="P14" i="2"/>
  <c r="P12" i="2"/>
  <c r="P10" i="2"/>
  <c r="G15" i="3"/>
  <c r="E15" i="3"/>
  <c r="C15" i="3"/>
  <c r="G16" i="3"/>
  <c r="E16" i="3"/>
  <c r="C16" i="3"/>
  <c r="R4" i="3"/>
  <c r="R5" i="3"/>
  <c r="R6" i="3"/>
  <c r="R7" i="3"/>
  <c r="R8" i="3"/>
  <c r="R9" i="3"/>
  <c r="R10" i="3"/>
  <c r="R11" i="3"/>
  <c r="R12" i="3"/>
  <c r="R13" i="3"/>
  <c r="R14" i="3"/>
  <c r="R3" i="3"/>
  <c r="Q15" i="3"/>
  <c r="G11" i="3"/>
  <c r="G12" i="3"/>
  <c r="G13" i="3"/>
  <c r="G14" i="3"/>
  <c r="G3" i="3"/>
  <c r="B15" i="2"/>
  <c r="C15" i="2"/>
  <c r="D3" i="2"/>
  <c r="D4" i="2"/>
  <c r="D5" i="2"/>
  <c r="D6" i="2"/>
  <c r="D7" i="2"/>
  <c r="D8" i="2"/>
  <c r="D9" i="2"/>
  <c r="D10" i="2"/>
  <c r="D11" i="2"/>
  <c r="D12" i="2"/>
  <c r="D13" i="2"/>
  <c r="D14" i="2"/>
  <c r="G4" i="3"/>
  <c r="G5" i="3"/>
  <c r="G6" i="3"/>
  <c r="G7" i="3"/>
  <c r="G8" i="3"/>
  <c r="G9" i="3"/>
  <c r="G10" i="3"/>
  <c r="H10" i="1"/>
  <c r="K12" i="1"/>
  <c r="J12" i="1"/>
  <c r="N4" i="2"/>
  <c r="M16" i="2"/>
  <c r="L14" i="2"/>
  <c r="L13" i="2"/>
  <c r="L12" i="2"/>
  <c r="L11" i="2"/>
  <c r="L10" i="2"/>
  <c r="N10" i="2" s="1"/>
  <c r="L9" i="2"/>
  <c r="N9" i="2" s="1"/>
  <c r="L8" i="2"/>
  <c r="N8" i="2" s="1"/>
  <c r="L7" i="2"/>
  <c r="N7" i="2" s="1"/>
  <c r="L6" i="2"/>
  <c r="N6" i="2" s="1"/>
  <c r="L5" i="2"/>
  <c r="H4" i="1"/>
  <c r="H5" i="1"/>
  <c r="H6" i="1"/>
  <c r="H7" i="1"/>
  <c r="H8" i="1"/>
  <c r="H9" i="1"/>
  <c r="H11" i="1"/>
  <c r="H12" i="1"/>
  <c r="H13" i="1"/>
  <c r="H14" i="1"/>
  <c r="H3" i="1"/>
  <c r="L12" i="1" l="1"/>
  <c r="N23" i="2"/>
  <c r="L33" i="2"/>
  <c r="N33" i="2" s="1"/>
  <c r="M36" i="5"/>
  <c r="N36" i="5"/>
  <c r="L16" i="2"/>
  <c r="N16" i="2" s="1"/>
  <c r="D15" i="2"/>
  <c r="B32" i="2"/>
  <c r="D32" i="2" s="1"/>
  <c r="I19" i="2" s="1"/>
  <c r="F34" i="1"/>
  <c r="H34" i="1" s="1"/>
  <c r="N5" i="2"/>
</calcChain>
</file>

<file path=xl/sharedStrings.xml><?xml version="1.0" encoding="utf-8"?>
<sst xmlns="http://schemas.openxmlformats.org/spreadsheetml/2006/main" count="405" uniqueCount="157">
  <si>
    <t>ΜΗΝΑΣ</t>
  </si>
  <si>
    <t>Ατυχήματα / εργατοώρες</t>
  </si>
  <si>
    <t>Ατυχήματα</t>
  </si>
  <si>
    <t>εργατοώρες</t>
  </si>
  <si>
    <t>Ατυχηματα/1mιο εργατοώρες</t>
  </si>
  <si>
    <t xml:space="preserve">ΙΑΝΟΥΑΡΙΟΣ 2023 </t>
  </si>
  <si>
    <t>0 / 39.258,53</t>
  </si>
  <si>
    <t>ΦΕΒΡΟΥΑΡΙΟΣ 2023</t>
  </si>
  <si>
    <t>0 / 37.502,28</t>
  </si>
  <si>
    <t>ΜΑΡΤΙΟΣ 2023</t>
  </si>
  <si>
    <t>0 / 43.298,94</t>
  </si>
  <si>
    <t>ΑΠΡΙΛΙΟΣ 2023</t>
  </si>
  <si>
    <t>0 / 35.759,09</t>
  </si>
  <si>
    <t>ΜΑΙΟΣ 2023</t>
  </si>
  <si>
    <t>2 / 45.972,22</t>
  </si>
  <si>
    <t>ΙΟΥΝΙΟΣ 2023</t>
  </si>
  <si>
    <t>0 / 41.218, 79</t>
  </si>
  <si>
    <t>ΙΟΥΛΙΟΣ 2023</t>
  </si>
  <si>
    <t>0 / 32.537,21</t>
  </si>
  <si>
    <t>ΑΥΓΟΥΣΤΟΣ 2023</t>
  </si>
  <si>
    <t>3 / 35.283,33</t>
  </si>
  <si>
    <t>ΣΕΠΤΕΜΒΡΙΟΣ 2023</t>
  </si>
  <si>
    <t>0 / 41.372,43</t>
  </si>
  <si>
    <t>ΟΚΤΩΒΡΙΟΣ 2023</t>
  </si>
  <si>
    <t>0 / 33.492,45</t>
  </si>
  <si>
    <t>ΝΟΕΜΒΡΙΟΣ 2023</t>
  </si>
  <si>
    <t>1 / 43.634,26</t>
  </si>
  <si>
    <t>ΠΕΡΙΟΔΟΣ ΙΟΥΝΙΟΣ-ΔΕΚΕΜΒΡΙΟΣ 23'</t>
  </si>
  <si>
    <t>ΔΕΚΕΜΒΡΙΟΣ 2023</t>
  </si>
  <si>
    <t>0 / 35.502,76</t>
  </si>
  <si>
    <t>ATYXHMATA:</t>
  </si>
  <si>
    <t>+</t>
  </si>
  <si>
    <t>ΌΛΑ ΤΑ ATYXHMATA ANA 1mil εργατοώρες</t>
  </si>
  <si>
    <t>ΣΤΟΧΟΣ ΓΙΑ ΤΟ 2024 : 40ατυχήματα/1mil εργατοώρες</t>
  </si>
  <si>
    <t>Όλα τα Ατυχήματα</t>
  </si>
  <si>
    <t>Εργατοώρες</t>
  </si>
  <si>
    <t>Ατυχήματα / 1mio εργατοώρες</t>
  </si>
  <si>
    <t>ΤΑ ΑΤΥΧΗΜΑΤΑ ΠΟΥ ΕΧΟΥΝ ΚΑΤΑΓΡΑΦΕΙ ΣΤΟ ΑΡΧΕΙΟ ΠΟΥ ΕΝΗΜΕΡΩΝΟΥΜΕ ΕΔΩ</t>
  </si>
  <si>
    <t>ΙΑΝΟΥΑΡΙΟΣ 2024</t>
  </si>
  <si>
    <t>ΦΕΒΡΟΥΑΡΙΟΣ 2024</t>
  </si>
  <si>
    <t>ΜΑΡΤΙΟΣ 2024</t>
  </si>
  <si>
    <t>ΑΠΡΙΛΙΟΣ 2024</t>
  </si>
  <si>
    <t>ΜΑΙΟΣ 2024</t>
  </si>
  <si>
    <t>ΙΟΥΝΙΟΣ 2024</t>
  </si>
  <si>
    <t>ΙΟΥΛΙΟΣ 2024</t>
  </si>
  <si>
    <t>ΑΥΓΟΥΣΤΟΣ 2024</t>
  </si>
  <si>
    <t>ΣΕΠΤΕΜΒΡΙΟΣ 2024</t>
  </si>
  <si>
    <t>ΟΚΤΩΒΡΙΟΣ 2024</t>
  </si>
  <si>
    <t>ΝΟΕΜΒΡΙΟΣ 2024</t>
  </si>
  <si>
    <t>ΔΕΚΕΜΒΡΙΟΣ 2024</t>
  </si>
  <si>
    <t>ΣΥΝΟΛΑ</t>
  </si>
  <si>
    <t>ΙΑΝΟΥΑΡΙΟΣ 2025</t>
  </si>
  <si>
    <t>ΦΕΒΡΟΥΑΡΙΟΣ 2025</t>
  </si>
  <si>
    <t>ΜΑΡΤΙΟΣ 2025</t>
  </si>
  <si>
    <t>ΑΠΡΙΛΙΟΣ 2025</t>
  </si>
  <si>
    <t>ΜΑΙΟΣ 2025</t>
  </si>
  <si>
    <t>ΙΟΥΝΙΟΣ 2025</t>
  </si>
  <si>
    <t>ΙΟΥΛΙΟΣ 2025</t>
  </si>
  <si>
    <t>ΑΥΓΟΥΣΤΟΣ 2025</t>
  </si>
  <si>
    <t>ΣΕΠΤΕΜΒΡΙΟΣ 2025</t>
  </si>
  <si>
    <t>ΟΚΤΩΒΡΙΟΣ 2025</t>
  </si>
  <si>
    <t>ΝΟΕΜΒΡΙΟΣ 2025</t>
  </si>
  <si>
    <t>ΔΕΚΕΜΒΡΙΟΣ 2025</t>
  </si>
  <si>
    <t>Hours diff. '24vs'25</t>
  </si>
  <si>
    <t>Accidents diff. '24vs'25</t>
  </si>
  <si>
    <t>ΙΑΝΟΥΑΡΙΟΣ 2026</t>
  </si>
  <si>
    <t>ΦΕΒΡΟΥΑΡΙΟΣ 2026</t>
  </si>
  <si>
    <t>ΜΑΡΤΙΟΣ 2026</t>
  </si>
  <si>
    <t>ΑΠΡΙΛΙΟΣ 2026</t>
  </si>
  <si>
    <t>Hours diff. '25vs'26</t>
  </si>
  <si>
    <t>Accidents diff. '25vs'26</t>
  </si>
  <si>
    <t>2023 Παραγόμενα alfa</t>
  </si>
  <si>
    <t>Quality incidents</t>
  </si>
  <si>
    <t>Selling kgs</t>
  </si>
  <si>
    <t>Comp/1m kgs</t>
  </si>
  <si>
    <t xml:space="preserve">ΔΕΙΚΤΗΣ 2021 </t>
  </si>
  <si>
    <t>Prod kgs</t>
  </si>
  <si>
    <t>ΔΕΙΚΤΗΣ 2022</t>
  </si>
  <si>
    <t>ΔΕΙΚΤΗΣ 2023</t>
  </si>
  <si>
    <t>ΠΑΡΑΓΟΜΕΝΑ</t>
  </si>
  <si>
    <t>ΔΕΙΚΤΗΣ 2024</t>
  </si>
  <si>
    <t>ΑΓΟΡΑΖΟΜΕΝΑ</t>
  </si>
  <si>
    <t>ΣΥΝΟΛΙΚΟ</t>
  </si>
  <si>
    <t>ktons</t>
  </si>
  <si>
    <t>παραπονα</t>
  </si>
  <si>
    <t>ΠΑΡΑΓΟΜΕΝΟ</t>
  </si>
  <si>
    <t>ΕΜΠΟΡΕΥΜΑΤΑ</t>
  </si>
  <si>
    <t>συνεχίζει</t>
  </si>
  <si>
    <t>2024 Παραγόμενα alfa</t>
  </si>
  <si>
    <t>2023 VS 2024</t>
  </si>
  <si>
    <t>Παράπονα</t>
  </si>
  <si>
    <t>Κιλά</t>
  </si>
  <si>
    <t xml:space="preserve">ΙΑΝΟΥΑΡΙΟΣ 2024 </t>
  </si>
  <si>
    <t xml:space="preserve"> </t>
  </si>
  <si>
    <t>2025 Παραγόμενα alfa</t>
  </si>
  <si>
    <t>ΙΑΝΟΥΑΡΙΟΣ</t>
  </si>
  <si>
    <t>ΦΕΒΡΟΥΑΡΙΟΣ</t>
  </si>
  <si>
    <t>ΜΑΡΤΙΟΣ</t>
  </si>
  <si>
    <t>ΑΠΡΙΛΙΟΣ</t>
  </si>
  <si>
    <t>ΜΑΙΟΣ</t>
  </si>
  <si>
    <t>ΙΟΥΝΙΟΣ</t>
  </si>
  <si>
    <t>ΙΟΥΛΙΟΣ</t>
  </si>
  <si>
    <t>ΑΥΓΟΥΣΤΟΣ</t>
  </si>
  <si>
    <t>ΣΕΠΤΕΜΒΡΙΟΣ</t>
  </si>
  <si>
    <t>ΟΚΤΩΒΡΙΟΣ</t>
  </si>
  <si>
    <t>ΝΟΕΜΒΡΙΟΣ</t>
  </si>
  <si>
    <t>ΔΕΚΕΜΒΡΙΟΣ</t>
  </si>
  <si>
    <t>2026 Παραγόμενα alfa</t>
  </si>
  <si>
    <t>ποσοστά καθαρών επιφ</t>
  </si>
  <si>
    <t>Μήνας</t>
  </si>
  <si>
    <t>Κιλά Παραγωγής</t>
  </si>
  <si>
    <t>Κιλά Παραγωγής YTD VS YTDY (%)</t>
  </si>
  <si>
    <t>Ποσότητα Φύρας</t>
  </si>
  <si>
    <t>ΠΟΣΟΣΤΟ ΠΑΡΑΓΩΜΕΝΗΣ ΦΥΡΑΣ ΣΤΑ ΚΙΛΑ ΠΑΡΑΓΩΓΗΣ</t>
  </si>
  <si>
    <t>Πραγματική Ανάλωση φυρών</t>
  </si>
  <si>
    <t>Διαφορά Παραγωγής - Αναλωσης Φυρας</t>
  </si>
  <si>
    <t>Πραγματικό ποσοστό Φυρών  ΣΕ ΠΑΡΑΓΟΜΕΝΑ ΚΙΛΑ</t>
  </si>
  <si>
    <t>Ωρες Εργαζομένων</t>
  </si>
  <si>
    <t>Αμεσες Ωρες</t>
  </si>
  <si>
    <t>Εμεσες Ωρες</t>
  </si>
  <si>
    <t>Κιλά παραγωγής ανά  άμεση εργατοώρα</t>
  </si>
  <si>
    <t>Κιλά παραγωγής ανά  έμμεση εργατοώρα</t>
  </si>
  <si>
    <t>Κιλά παραγωγής ανά εργατοώρα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</si>
  <si>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</si>
  <si>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</si>
  <si>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</si>
  <si>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</si>
  <si>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</si>
  <si>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</si>
  <si>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</si>
  <si>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</si>
  <si>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</si>
  <si>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</si>
  <si>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</si>
  <si>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</si>
  <si>
    <t>ΣΥΝΟΛΟ:</t>
  </si>
  <si>
    <t>ΠΟΣΟΣΤΟ ΠΑΡΑΓΟΜΕΝΗΣ ΦΥΡΑΣ ΣΤΑ ΚΙΛΑ ΠΑΡΑΓΩΓΗΣ</t>
  </si>
  <si>
    <t>ΟΕΕ</t>
  </si>
  <si>
    <t>ΚΙΛΑ ΠΑΡΑΓΩΓΗΣ</t>
  </si>
  <si>
    <t>ΚΙΛΑ ΠΑΡΑΓΩΓΗΣ YTD</t>
  </si>
  <si>
    <t>ΦΥΡΕΣ(KG)</t>
  </si>
  <si>
    <t>ΦΥΡΕΣ YTD(KG)</t>
  </si>
  <si>
    <t>ΦΥΡΕΣ % (MHNIAIA)</t>
  </si>
  <si>
    <t>ΦΥΡΕΣ % YTD</t>
  </si>
  <si>
    <t>ΩΡΕΣ ΑΜΕΣΩΝ ΕΡΓΑΤΙΚΩΝ (ΜΗΝΙΑΙΑ)</t>
  </si>
  <si>
    <t>ΩΡΕΣ ΑΜΕΣΩΝ ΕΡΓΑΤΙΚΩΝ YTD</t>
  </si>
  <si>
    <t>KG ΠΑΡΑΓΩΓΗΣ/ΕΡΓΑΤΩΡΑ ΜΗΝΙΑΙΑ</t>
  </si>
  <si>
    <t>KG ΠΑΡΑΓΩΓΗΣ/ΕΡΓΑΤΩΡΑ YTD</t>
  </si>
  <si>
    <t>CONVERSION COST/TN MHNIAIA</t>
  </si>
  <si>
    <t>CONVERSION COST/TN YTD</t>
  </si>
  <si>
    <t xml:space="preserve"> GIVE AWAY</t>
  </si>
  <si>
    <t>ΩΡΕΣ ΕΡΓΑΖΟΜΕΝΩΝ</t>
  </si>
  <si>
    <t>ΩΡΕΣ ΕΡΓΑΖΟΜΕΝΩΝ ΑΝΑ 1.000.000κιλά</t>
  </si>
  <si>
    <t>ΣΥΝΟΛΙΚΑ</t>
  </si>
  <si>
    <t>M.O.</t>
  </si>
  <si>
    <t>ενδιαφέροντος</t>
  </si>
  <si>
    <t>Prev.Year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</si>
</sst>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0.0000%"/>
    <numFmt numFmtId="167" formatCode="0.0%"/>
  </numFmts>
  <fonts count="29" x14ac:knownFonts="1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8"/>
      <color theme="1"/>
      <name val="Daytona"/>
      <family val="2"/>
    </font>
    <font>
      <b/>
      <sz val="12"/>
      <color theme="1"/>
      <name val="Daytona"/>
      <family val="2"/>
    </font>
    <font>
      <b/>
      <sz val="11"/>
      <color theme="1"/>
      <name val="Daytona"/>
      <family val="2"/>
    </font>
    <font>
      <sz val="11"/>
      <color theme="1"/>
      <name val="Daytona"/>
      <family val="2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Dayton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1"/>
      <name val="Daytona"/>
      <family val="2"/>
    </font>
    <font>
      <sz val="10"/>
      <color theme="1"/>
      <name val="Daytona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color rgb="FF00B050"/>
      <name val="Calibri"/>
      <family val="2"/>
      <charset val="161"/>
      <scheme val="minor"/>
    </font>
    <font>
      <b/>
      <sz val="11"/>
      <color rgb="FFC00000"/>
      <name val="Calibri"/>
      <family val="2"/>
      <charset val="161"/>
      <scheme val="minor"/>
    </font>
    <font>
      <sz val="11"/>
      <color rgb="FF00B050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Daytona"/>
      <family val="2"/>
    </font>
    <font>
      <sz val="11"/>
      <color rgb="FF000000"/>
      <name val="Aptos Narrow"/>
      <family val="2"/>
    </font>
    <font>
      <sz val="11"/>
      <color theme="1"/>
      <name val="Daytona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88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/>
    <xf numFmtId="0" fontId="9" fillId="0" borderId="4" xfId="0" applyFont="1" applyBorder="1" applyAlignment="1">
      <alignment horizontal="center"/>
    </xf>
    <xf numFmtId="0" fontId="9" fillId="3" borderId="1" xfId="0" applyFont="1" applyFill="1" applyBorder="1"/>
    <xf numFmtId="0" fontId="9" fillId="3" borderId="4" xfId="0" applyFont="1" applyFill="1" applyBorder="1" applyAlignment="1">
      <alignment horizontal="center"/>
    </xf>
    <xf numFmtId="0" fontId="9" fillId="0" borderId="0" xfId="0" applyFont="1"/>
    <xf numFmtId="4" fontId="9" fillId="0" borderId="4" xfId="0" applyNumberFormat="1" applyFont="1" applyBorder="1" applyAlignment="1">
      <alignment horizontal="center"/>
    </xf>
    <xf numFmtId="4" fontId="9" fillId="3" borderId="4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0" fontId="5" fillId="0" borderId="0" xfId="0" applyFont="1"/>
    <xf numFmtId="3" fontId="0" fillId="0" borderId="0" xfId="0" applyNumberFormat="1"/>
    <xf numFmtId="0" fontId="10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4" fontId="0" fillId="0" borderId="0" xfId="0" applyNumberFormat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10" fillId="0" borderId="0" xfId="0" applyFont="1"/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0" fontId="0" fillId="0" borderId="1" xfId="0" applyNumberFormat="1" applyBorder="1"/>
    <xf numFmtId="0" fontId="2" fillId="6" borderId="1" xfId="0" applyFont="1" applyFill="1" applyBorder="1" applyAlignment="1">
      <alignment horizontal="center" wrapText="1"/>
    </xf>
    <xf numFmtId="164" fontId="0" fillId="0" borderId="24" xfId="0" applyNumberFormat="1" applyBorder="1" applyAlignment="1">
      <alignment horizontal="center" vertical="center"/>
    </xf>
    <xf numFmtId="4" fontId="0" fillId="11" borderId="1" xfId="0" applyNumberFormat="1" applyFill="1" applyBorder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 wrapText="1"/>
    </xf>
    <xf numFmtId="4" fontId="0" fillId="0" borderId="1" xfId="0" applyNumberFormat="1" applyBorder="1"/>
    <xf numFmtId="0" fontId="2" fillId="10" borderId="1" xfId="0" applyFont="1" applyFill="1" applyBorder="1" applyAlignment="1">
      <alignment horizontal="center" wrapText="1"/>
    </xf>
    <xf numFmtId="10" fontId="0" fillId="10" borderId="1" xfId="0" applyNumberFormat="1" applyFill="1" applyBorder="1"/>
    <xf numFmtId="3" fontId="0" fillId="10" borderId="1" xfId="0" applyNumberFormat="1" applyFill="1" applyBorder="1"/>
    <xf numFmtId="0" fontId="0" fillId="10" borderId="1" xfId="0" applyFill="1" applyBorder="1"/>
    <xf numFmtId="164" fontId="10" fillId="8" borderId="25" xfId="0" applyNumberFormat="1" applyFont="1" applyFill="1" applyBorder="1" applyAlignment="1">
      <alignment horizontal="center" vertical="center"/>
    </xf>
    <xf numFmtId="0" fontId="2" fillId="9" borderId="12" xfId="0" applyFont="1" applyFill="1" applyBorder="1"/>
    <xf numFmtId="0" fontId="2" fillId="9" borderId="13" xfId="0" applyFont="1" applyFill="1" applyBorder="1"/>
    <xf numFmtId="0" fontId="2" fillId="9" borderId="14" xfId="0" applyFont="1" applyFill="1" applyBorder="1"/>
    <xf numFmtId="0" fontId="2" fillId="9" borderId="15" xfId="0" applyFont="1" applyFill="1" applyBorder="1"/>
    <xf numFmtId="164" fontId="2" fillId="9" borderId="15" xfId="0" applyNumberFormat="1" applyFont="1" applyFill="1" applyBorder="1"/>
    <xf numFmtId="0" fontId="10" fillId="6" borderId="0" xfId="0" applyFont="1" applyFill="1"/>
    <xf numFmtId="0" fontId="0" fillId="5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5" borderId="0" xfId="0" applyFill="1" applyAlignment="1">
      <alignment horizontal="center" vertical="center"/>
    </xf>
    <xf numFmtId="0" fontId="0" fillId="0" borderId="32" xfId="0" applyBorder="1"/>
    <xf numFmtId="4" fontId="0" fillId="0" borderId="33" xfId="0" applyNumberFormat="1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0" fillId="0" borderId="39" xfId="0" applyBorder="1"/>
    <xf numFmtId="10" fontId="0" fillId="0" borderId="1" xfId="1" applyNumberFormat="1" applyFont="1" applyBorder="1"/>
    <xf numFmtId="2" fontId="0" fillId="10" borderId="16" xfId="0" applyNumberFormat="1" applyFill="1" applyBorder="1"/>
    <xf numFmtId="2" fontId="11" fillId="10" borderId="14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4" fontId="9" fillId="5" borderId="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13" borderId="41" xfId="0" applyFont="1" applyFill="1" applyBorder="1" applyAlignment="1">
      <alignment horizontal="center" vertical="center"/>
    </xf>
    <xf numFmtId="0" fontId="8" fillId="13" borderId="41" xfId="0" applyFont="1" applyFill="1" applyBorder="1"/>
    <xf numFmtId="4" fontId="15" fillId="0" borderId="1" xfId="0" applyNumberFormat="1" applyFont="1" applyBorder="1" applyAlignment="1">
      <alignment horizontal="center" vertical="center"/>
    </xf>
    <xf numFmtId="0" fontId="16" fillId="5" borderId="1" xfId="0" applyFont="1" applyFill="1" applyBorder="1"/>
    <xf numFmtId="2" fontId="9" fillId="5" borderId="1" xfId="0" applyNumberFormat="1" applyFont="1" applyFill="1" applyBorder="1" applyAlignment="1">
      <alignment horizontal="center" vertical="center"/>
    </xf>
    <xf numFmtId="2" fontId="10" fillId="10" borderId="45" xfId="0" applyNumberFormat="1" applyFont="1" applyFill="1" applyBorder="1"/>
    <xf numFmtId="0" fontId="10" fillId="0" borderId="46" xfId="0" applyFont="1" applyBorder="1"/>
    <xf numFmtId="0" fontId="10" fillId="0" borderId="47" xfId="0" applyFont="1" applyBorder="1" applyAlignment="1">
      <alignment horizontal="right"/>
    </xf>
    <xf numFmtId="10" fontId="17" fillId="0" borderId="6" xfId="0" applyNumberFormat="1" applyFont="1" applyBorder="1"/>
    <xf numFmtId="166" fontId="17" fillId="5" borderId="6" xfId="0" applyNumberFormat="1" applyFont="1" applyFill="1" applyBorder="1"/>
    <xf numFmtId="1" fontId="17" fillId="0" borderId="6" xfId="0" applyNumberFormat="1" applyFont="1" applyBorder="1"/>
    <xf numFmtId="1" fontId="0" fillId="0" borderId="6" xfId="0" applyNumberFormat="1" applyBorder="1"/>
    <xf numFmtId="0" fontId="17" fillId="0" borderId="0" xfId="0" applyFont="1"/>
    <xf numFmtId="0" fontId="18" fillId="0" borderId="0" xfId="0" applyFont="1"/>
    <xf numFmtId="4" fontId="18" fillId="0" borderId="0" xfId="0" applyNumberFormat="1" applyFont="1"/>
    <xf numFmtId="0" fontId="17" fillId="0" borderId="6" xfId="0" applyFont="1" applyBorder="1"/>
    <xf numFmtId="4" fontId="17" fillId="0" borderId="6" xfId="0" applyNumberFormat="1" applyFont="1" applyBorder="1"/>
    <xf numFmtId="0" fontId="17" fillId="0" borderId="48" xfId="0" applyFont="1" applyBorder="1"/>
    <xf numFmtId="0" fontId="19" fillId="0" borderId="6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7" fontId="21" fillId="14" borderId="0" xfId="1" applyNumberFormat="1" applyFont="1" applyFill="1"/>
    <xf numFmtId="167" fontId="22" fillId="14" borderId="0" xfId="1" applyNumberFormat="1" applyFont="1" applyFill="1"/>
    <xf numFmtId="0" fontId="0" fillId="15" borderId="0" xfId="0" applyFill="1"/>
    <xf numFmtId="0" fontId="0" fillId="15" borderId="0" xfId="0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3" fontId="10" fillId="15" borderId="0" xfId="0" applyNumberFormat="1" applyFont="1" applyFill="1" applyAlignment="1">
      <alignment horizontal="center" vertical="center"/>
    </xf>
    <xf numFmtId="164" fontId="10" fillId="15" borderId="0" xfId="0" applyNumberFormat="1" applyFont="1" applyFill="1" applyAlignment="1">
      <alignment horizontal="center" vertical="center"/>
    </xf>
    <xf numFmtId="0" fontId="23" fillId="0" borderId="6" xfId="0" applyFont="1" applyBorder="1"/>
    <xf numFmtId="166" fontId="17" fillId="0" borderId="6" xfId="0" applyNumberFormat="1" applyFont="1" applyBorder="1"/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4" fontId="0" fillId="0" borderId="6" xfId="0" applyNumberFormat="1" applyBorder="1"/>
    <xf numFmtId="0" fontId="0" fillId="0" borderId="6" xfId="0" applyBorder="1"/>
    <xf numFmtId="0" fontId="18" fillId="0" borderId="49" xfId="0" applyFont="1" applyBorder="1" applyAlignment="1">
      <alignment vertical="center"/>
    </xf>
    <xf numFmtId="0" fontId="17" fillId="0" borderId="49" xfId="0" applyFont="1" applyBorder="1"/>
    <xf numFmtId="0" fontId="24" fillId="0" borderId="6" xfId="0" applyFont="1" applyBorder="1"/>
    <xf numFmtId="1" fontId="18" fillId="0" borderId="0" xfId="0" applyNumberFormat="1" applyFont="1"/>
    <xf numFmtId="1" fontId="0" fillId="0" borderId="0" xfId="0" applyNumberFormat="1"/>
    <xf numFmtId="0" fontId="18" fillId="0" borderId="27" xfId="0" applyFont="1" applyBorder="1" applyAlignment="1">
      <alignment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8" fillId="5" borderId="52" xfId="0" applyFont="1" applyFill="1" applyBorder="1" applyAlignment="1">
      <alignment horizontal="center" vertical="center" wrapText="1"/>
    </xf>
    <xf numFmtId="10" fontId="17" fillId="0" borderId="53" xfId="0" applyNumberFormat="1" applyFont="1" applyBorder="1"/>
    <xf numFmtId="2" fontId="0" fillId="0" borderId="6" xfId="0" applyNumberFormat="1" applyBorder="1"/>
    <xf numFmtId="0" fontId="10" fillId="0" borderId="0" xfId="0" applyFont="1" applyAlignment="1">
      <alignment horizontal="center" vertical="center"/>
    </xf>
    <xf numFmtId="4" fontId="17" fillId="0" borderId="48" xfId="0" applyNumberFormat="1" applyFont="1" applyBorder="1"/>
    <xf numFmtId="0" fontId="18" fillId="0" borderId="49" xfId="0" applyFont="1" applyBorder="1" applyAlignment="1">
      <alignment horizontal="center" vertical="center" wrapText="1"/>
    </xf>
    <xf numFmtId="10" fontId="23" fillId="0" borderId="6" xfId="0" applyNumberFormat="1" applyFont="1" applyBorder="1"/>
    <xf numFmtId="10" fontId="24" fillId="0" borderId="6" xfId="0" applyNumberFormat="1" applyFont="1" applyBorder="1"/>
    <xf numFmtId="0" fontId="19" fillId="0" borderId="23" xfId="0" applyFont="1" applyBorder="1" applyAlignment="1">
      <alignment horizontal="center" vertical="center"/>
    </xf>
    <xf numFmtId="2" fontId="17" fillId="0" borderId="6" xfId="0" applyNumberFormat="1" applyFont="1" applyBorder="1"/>
    <xf numFmtId="1" fontId="0" fillId="0" borderId="38" xfId="0" applyNumberFormat="1" applyBorder="1"/>
    <xf numFmtId="164" fontId="10" fillId="6" borderId="0" xfId="0" applyNumberFormat="1" applyFont="1" applyFill="1"/>
    <xf numFmtId="0" fontId="2" fillId="16" borderId="17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/>
    </xf>
    <xf numFmtId="0" fontId="2" fillId="16" borderId="19" xfId="0" applyFont="1" applyFill="1" applyBorder="1" applyAlignment="1">
      <alignment horizontal="center" vertical="center"/>
    </xf>
    <xf numFmtId="166" fontId="23" fillId="5" borderId="6" xfId="0" applyNumberFormat="1" applyFont="1" applyFill="1" applyBorder="1"/>
    <xf numFmtId="166" fontId="24" fillId="5" borderId="6" xfId="0" applyNumberFormat="1" applyFont="1" applyFill="1" applyBorder="1"/>
    <xf numFmtId="1" fontId="17" fillId="0" borderId="6" xfId="0" applyNumberFormat="1" applyFont="1" applyBorder="1" applyAlignment="1">
      <alignment horizontal="right"/>
    </xf>
    <xf numFmtId="1" fontId="19" fillId="0" borderId="6" xfId="0" applyNumberFormat="1" applyFont="1" applyBorder="1" applyAlignment="1">
      <alignment horizontal="center" vertical="center"/>
    </xf>
    <xf numFmtId="0" fontId="25" fillId="17" borderId="2" xfId="0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4" fontId="25" fillId="17" borderId="2" xfId="0" applyNumberFormat="1" applyFont="1" applyFill="1" applyBorder="1" applyAlignment="1">
      <alignment horizontal="center"/>
    </xf>
    <xf numFmtId="10" fontId="17" fillId="0" borderId="0" xfId="0" applyNumberFormat="1" applyFont="1"/>
    <xf numFmtId="0" fontId="23" fillId="0" borderId="0" xfId="0" applyFont="1"/>
    <xf numFmtId="0" fontId="24" fillId="0" borderId="0" xfId="0" applyFont="1"/>
    <xf numFmtId="166" fontId="24" fillId="5" borderId="0" xfId="0" applyNumberFormat="1" applyFont="1" applyFill="1"/>
    <xf numFmtId="166" fontId="0" fillId="0" borderId="0" xfId="1" applyNumberFormat="1" applyFont="1"/>
    <xf numFmtId="0" fontId="26" fillId="0" borderId="6" xfId="0" applyFont="1" applyBorder="1"/>
    <xf numFmtId="3" fontId="0" fillId="0" borderId="6" xfId="0" applyNumberFormat="1" applyBorder="1"/>
    <xf numFmtId="4" fontId="27" fillId="5" borderId="2" xfId="0" applyNumberFormat="1" applyFont="1" applyFill="1" applyBorder="1" applyAlignment="1">
      <alignment horizontal="center" vertical="center"/>
    </xf>
    <xf numFmtId="43" fontId="8" fillId="0" borderId="1" xfId="2" applyFont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/>
    </xf>
    <xf numFmtId="10" fontId="28" fillId="0" borderId="1" xfId="0" applyNumberFormat="1" applyFont="1" applyBorder="1"/>
    <xf numFmtId="164" fontId="0" fillId="0" borderId="0" xfId="0" applyNumberFormat="1"/>
    <xf numFmtId="164" fontId="0" fillId="0" borderId="38" xfId="0" applyNumberFormat="1" applyBorder="1"/>
    <xf numFmtId="164" fontId="10" fillId="8" borderId="54" xfId="0" applyNumberFormat="1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18" borderId="55" xfId="0" applyFont="1" applyFill="1" applyBorder="1" applyAlignment="1">
      <alignment horizontal="center" vertical="center"/>
    </xf>
    <xf numFmtId="0" fontId="2" fillId="18" borderId="56" xfId="0" applyFont="1" applyFill="1" applyBorder="1" applyAlignment="1">
      <alignment horizontal="center" vertical="center"/>
    </xf>
    <xf numFmtId="0" fontId="2" fillId="18" borderId="57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2" fillId="18" borderId="63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64" xfId="0" applyNumberFormat="1" applyBorder="1" applyAlignment="1">
      <alignment horizontal="center" vertical="center"/>
    </xf>
    <xf numFmtId="0" fontId="2" fillId="18" borderId="65" xfId="0" applyFont="1" applyFill="1" applyBorder="1" applyAlignment="1">
      <alignment horizontal="center" vertical="center"/>
    </xf>
    <xf numFmtId="0" fontId="2" fillId="18" borderId="67" xfId="0" applyFont="1" applyFill="1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16" borderId="5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8" fillId="13" borderId="42" xfId="0" applyFont="1" applyFill="1" applyBorder="1" applyAlignment="1">
      <alignment horizontal="center" vertical="center"/>
    </xf>
    <xf numFmtId="0" fontId="8" fillId="13" borderId="43" xfId="0" applyFont="1" applyFill="1" applyBorder="1" applyAlignment="1">
      <alignment horizontal="center" vertical="center"/>
    </xf>
    <xf numFmtId="0" fontId="9" fillId="0" borderId="43" xfId="0" applyFont="1" applyBorder="1"/>
    <xf numFmtId="0" fontId="9" fillId="0" borderId="44" xfId="0" applyFont="1" applyBorder="1"/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12" borderId="14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15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2025 Παραγόμενα </a:t>
            </a:r>
            <a:r>
              <a:rPr lang="en-US"/>
              <a:t>alfa </a:t>
            </a:r>
            <a:r>
              <a:rPr lang="el-GR"/>
              <a:t>αποδεκτά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Selling kgs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'[1]2026'!$B$38:$B$49</c:f>
              <c:strCache>
                <c:ptCount val="12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  <c:pt idx="3">
                  <c:v>ΑΠΡΙΛΙΟΣ</c:v>
                </c:pt>
                <c:pt idx="4">
                  <c:v>ΜΑΙΟΣ</c:v>
                </c:pt>
                <c:pt idx="5">
                  <c:v>ΙΟΥΝΙΟΣ</c:v>
                </c:pt>
                <c:pt idx="6">
                  <c:v>ΙΟΥΛΙΟΣ</c:v>
                </c:pt>
                <c:pt idx="7">
                  <c:v>ΑΥΓΟΥΣΤΟΣ</c:v>
                </c:pt>
                <c:pt idx="8">
                  <c:v>ΣΕΠΤΕΜΒΡΙΟΣ</c:v>
                </c:pt>
                <c:pt idx="9">
                  <c:v>ΟΚΤΩΒΡΙΟΣ</c:v>
                </c:pt>
                <c:pt idx="10">
                  <c:v>ΝΟΕΜΒΡΙΟΣ</c:v>
                </c:pt>
                <c:pt idx="11">
                  <c:v>ΔΕΚΕΜΒΡΙΟΣ</c:v>
                </c:pt>
              </c:strCache>
            </c:strRef>
          </c:cat>
          <c:val>
            <c:numRef>
              <c:f>'ΠΟΙΟΤΗΤΑ ΠΡΟΪΟΝΤΩΝ'!$C$54:$C$65</c:f>
              <c:numCache>
                <c:formatCode>#,##0</c:formatCode>
                <c:ptCount val="12"/>
                <c:pt idx="0">
                  <c:v>1991459.15</c:v>
                </c:pt>
                <c:pt idx="1">
                  <c:v>1815085.92</c:v>
                </c:pt>
                <c:pt idx="2">
                  <c:v>1916342.1500000001</c:v>
                </c:pt>
                <c:pt idx="3">
                  <c:v>1963363.8900000001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1-4CC0-9B16-EAA3D499E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502928"/>
        <c:axId val="867502448"/>
      </c:lineChart>
      <c:lineChart>
        <c:grouping val="standard"/>
        <c:varyColors val="0"/>
        <c:ser>
          <c:idx val="2"/>
          <c:order val="1"/>
          <c:tx>
            <c:strRef>
              <c:f>'ΠΟΙΟΤΗΤΑ ΠΡΟΪΟΝΤΩΝ'!$D$53</c:f>
              <c:strCache>
                <c:ptCount val="1"/>
                <c:pt idx="0">
                  <c:v>Comp/1m kgs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'[1]2026'!$B$38:$B$49</c:f>
              <c:strCache>
                <c:ptCount val="12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  <c:pt idx="3">
                  <c:v>ΑΠΡΙΛΙΟΣ</c:v>
                </c:pt>
                <c:pt idx="4">
                  <c:v>ΜΑΙΟΣ</c:v>
                </c:pt>
                <c:pt idx="5">
                  <c:v>ΙΟΥΝΙΟΣ</c:v>
                </c:pt>
                <c:pt idx="6">
                  <c:v>ΙΟΥΛΙΟΣ</c:v>
                </c:pt>
                <c:pt idx="7">
                  <c:v>ΑΥΓΟΥΣΤΟΣ</c:v>
                </c:pt>
                <c:pt idx="8">
                  <c:v>ΣΕΠΤΕΜΒΡΙΟΣ</c:v>
                </c:pt>
                <c:pt idx="9">
                  <c:v>ΟΚΤΩΒΡΙΟΣ</c:v>
                </c:pt>
                <c:pt idx="10">
                  <c:v>ΝΟΕΜΒΡΙΟΣ</c:v>
                </c:pt>
                <c:pt idx="11">
                  <c:v>ΔΕΚΕΜΒΡΙΟΣ</c:v>
                </c:pt>
              </c:strCache>
            </c:strRef>
          </c:cat>
          <c:val>
            <c:numRef>
              <c:f>'ΠΟΙΟΤΗΤΑ ΠΡΟΪΟΝΤΩΝ'!$D$54:$D$65</c:f>
              <c:numCache>
                <c:formatCode>0.0</c:formatCode>
                <c:ptCount val="12"/>
                <c:pt idx="0">
                  <c:v>33.643672781337244</c:v>
                </c:pt>
                <c:pt idx="1">
                  <c:v>22.037524262212337</c:v>
                </c:pt>
                <c:pt idx="2">
                  <c:v>32.353303923310357</c:v>
                </c:pt>
                <c:pt idx="3">
                  <c:v>15.27989801218153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1-4CC0-9B16-EAA3D499ED5A}"/>
            </c:ext>
          </c:extLst>
        </c:ser>
        <c:ser>
          <c:idx val="0"/>
          <c:order val="2"/>
          <c:tx>
            <c:v>Μ.Ο. 2025</c:v>
          </c:tx>
          <c:spPr>
            <a:ln w="34925" cap="rnd">
              <a:solidFill>
                <a:schemeClr val="tx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'[1]2026'!$B$38:$B$49</c:f>
              <c:strCache>
                <c:ptCount val="12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  <c:pt idx="3">
                  <c:v>ΑΠΡΙΛΙΟΣ</c:v>
                </c:pt>
                <c:pt idx="4">
                  <c:v>ΜΑΙΟΣ</c:v>
                </c:pt>
                <c:pt idx="5">
                  <c:v>ΙΟΥΝΙΟΣ</c:v>
                </c:pt>
                <c:pt idx="6">
                  <c:v>ΙΟΥΛΙΟΣ</c:v>
                </c:pt>
                <c:pt idx="7">
                  <c:v>ΑΥΓΟΥΣΤΟΣ</c:v>
                </c:pt>
                <c:pt idx="8">
                  <c:v>ΣΕΠΤΕΜΒΡΙΟΣ</c:v>
                </c:pt>
                <c:pt idx="9">
                  <c:v>ΟΚΤΩΒΡΙΟΣ</c:v>
                </c:pt>
                <c:pt idx="10">
                  <c:v>ΝΟΕΜΒΡΙΟΣ</c:v>
                </c:pt>
                <c:pt idx="11">
                  <c:v>ΔΕΚΕΜΒΡΙΟΣ</c:v>
                </c:pt>
              </c:strCache>
            </c:strRef>
          </c:cat>
          <c:val>
            <c:numRef>
              <c:f>'ΠΟΙΟΤΗΤΑ ΠΡΟΪΟΝΤΩΝ'!$F$54:$F$65</c:f>
              <c:numCache>
                <c:formatCode>0.0</c:formatCode>
                <c:ptCount val="12"/>
                <c:pt idx="0">
                  <c:v>25.192011440295648</c:v>
                </c:pt>
                <c:pt idx="1">
                  <c:v>25.192011440295648</c:v>
                </c:pt>
                <c:pt idx="2">
                  <c:v>25.192011440295648</c:v>
                </c:pt>
                <c:pt idx="3">
                  <c:v>25.192011440295648</c:v>
                </c:pt>
                <c:pt idx="4">
                  <c:v>25.192011440295648</c:v>
                </c:pt>
                <c:pt idx="5">
                  <c:v>25.192011440295648</c:v>
                </c:pt>
                <c:pt idx="6">
                  <c:v>25.192011440295648</c:v>
                </c:pt>
                <c:pt idx="7">
                  <c:v>25.192011440295648</c:v>
                </c:pt>
                <c:pt idx="8">
                  <c:v>25.192011440295648</c:v>
                </c:pt>
                <c:pt idx="9">
                  <c:v>25.192011440295648</c:v>
                </c:pt>
                <c:pt idx="10">
                  <c:v>25.192011440295648</c:v>
                </c:pt>
                <c:pt idx="11">
                  <c:v>25.192011440295648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E1-4CC0-9B16-EAA3D499E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689248"/>
        <c:axId val="2019690208"/>
      </c:lineChart>
      <c:catAx>
        <c:axId val="8675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7502448"/>
        <c:crosses val="autoZero"/>
        <c:auto val="1"/>
        <c:lblAlgn val="ctr"/>
        <c:lblOffset val="100"/>
        <c:noMultiLvlLbl val="0"/>
      </c:catAx>
      <c:valAx>
        <c:axId val="8675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Κιλά πωλήσεων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7502928"/>
        <c:crosses val="autoZero"/>
        <c:crossBetween val="between"/>
      </c:valAx>
      <c:valAx>
        <c:axId val="20196902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Περιστατικά /</a:t>
                </a:r>
                <a:r>
                  <a:rPr lang="el-GR" baseline="0"/>
                  <a:t> 1</a:t>
                </a:r>
                <a:r>
                  <a:rPr lang="en-US" baseline="0"/>
                  <a:t>m kg </a:t>
                </a:r>
                <a:r>
                  <a:rPr lang="el-GR" baseline="0"/>
                  <a:t>πωλήσεων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19689248"/>
        <c:crosses val="max"/>
        <c:crossBetween val="between"/>
      </c:valAx>
      <c:catAx>
        <c:axId val="2019689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9690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ΦΥΡΕΣ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ΠΑΡΑΓΩΓΙΚΟΤΗΤΑ!$G$2</c:f>
              <c:strCache>
                <c:ptCount val="1"/>
                <c:pt idx="0">
                  <c:v>ΦΥΡΕΣ % (MHNIAIA)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ΠΑΡΑΓΩΓΙΚΟΤΗΤΑ!$G$3:$G$14</c:f>
              <c:numCache>
                <c:formatCode>0.00%</c:formatCode>
                <c:ptCount val="12"/>
                <c:pt idx="0">
                  <c:v>3.0555204268950548E-2</c:v>
                </c:pt>
                <c:pt idx="1">
                  <c:v>4.1558770459563292E-2</c:v>
                </c:pt>
                <c:pt idx="2">
                  <c:v>3.3002958642805877E-2</c:v>
                </c:pt>
                <c:pt idx="3">
                  <c:v>3.6365082647681853E-2</c:v>
                </c:pt>
                <c:pt idx="4">
                  <c:v>4.0571567396576892E-2</c:v>
                </c:pt>
                <c:pt idx="5">
                  <c:v>3.4334957149059153E-2</c:v>
                </c:pt>
                <c:pt idx="6">
                  <c:v>1.1959918817451471E-2</c:v>
                </c:pt>
                <c:pt idx="7">
                  <c:v>1.0841304698748106E-2</c:v>
                </c:pt>
                <c:pt idx="8">
                  <c:v>2.2788750940093586E-2</c:v>
                </c:pt>
                <c:pt idx="9">
                  <c:v>3.1261032302365432E-2</c:v>
                </c:pt>
                <c:pt idx="10">
                  <c:v>3.6527125843408524E-2</c:v>
                </c:pt>
                <c:pt idx="11">
                  <c:v>3.346901705168074E-2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E-4503-964A-D3627B8C5DFE}"/>
            </c:ext>
          </c:extLst>
        </c:ser>
        <c:ser>
          <c:idx val="1"/>
          <c:order val="1"/>
          <c:tx>
            <c:strRef>
              <c:f>ΠΑΡΑΓΩΓΙΚΟΤΗΤΑ!$H$2</c:f>
              <c:strCache>
                <c:ptCount val="1"/>
                <c:pt idx="0">
                  <c:v>ΦΥΡΕΣ % YTD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ΠΑΡΑΓΩΓΙΚΟΤΗΤΑ!$H$3:$H$14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1E-4503-964A-D3627B8C5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617607"/>
        <c:axId val="566619655"/>
      </c:lineChart>
      <c:catAx>
        <c:axId val="566617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66619655"/>
        <c:crosses val="autoZero"/>
        <c:auto val="1"/>
        <c:lblAlgn val="ctr"/>
        <c:lblOffset val="100"/>
        <c:noMultiLvlLbl val="0"/>
      </c:catAx>
      <c:valAx>
        <c:axId val="566619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6661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311860</xdr:colOff>
      <xdr:row>51</xdr:row>
      <xdr:rowOff>1</xdr:rowOff>
    </xdr:from>
    <xdr:to>
      <xdr:col>33</xdr:col>
      <xdr:colOff>583492</xdr:colOff>
      <xdr:row>70</xdr:row>
      <xdr:rowOff>18602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41A42-860C-4936-B53C-49ECEB5F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30</xdr:row>
      <xdr:rowOff>19050</xdr:rowOff>
    </xdr:from>
    <xdr:to>
      <xdr:col>12</xdr:col>
      <xdr:colOff>333375</xdr:colOff>
      <xdr:row>45</xdr:row>
      <xdr:rowOff>95250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0D33E0-28E3-40F4-B4DD-576E840E0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_gkouletsos_alfapastry_com/Documents/SCORECARD%20QUALITY.xlsx" TargetMode="External"/><Relationship Id="rId2" Type="http://schemas.openxmlformats.org/officeDocument/2006/relationships/externalLinkPath" Target="https://alfapastry-my.sharepoint.com/personal/t_gkouletsos_alfapastry_com/Documents/SCORECARD%20QUALITY.xlsx" TargetMode="External"/><Relationship Id="rId1" Type="http://schemas.openxmlformats.org/officeDocument/2006/relationships/externalLinkPath" Target="/personal/t_gkouletsos_alfapastry_com/Documents/SCORECARD%20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3"/>
      <sheetName val="2024"/>
      <sheetName val="2025"/>
      <sheetName val="2026"/>
      <sheetName val="KPI Benchmarks"/>
    </sheetNames>
    <sheetDataSet>
      <sheetData sheetId="0"/>
      <sheetData sheetId="1"/>
      <sheetData sheetId="2"/>
      <sheetData sheetId="3">
        <row r="38">
          <cell r="B38" t="str">
            <v>ΙΑΝΟΥΑΡΙΟΣ</v>
          </cell>
        </row>
        <row r="39">
          <cell r="B39" t="str">
            <v>ΦΕΒΡΟΥΑΡΙΟΣ</v>
          </cell>
        </row>
        <row r="40">
          <cell r="B40" t="str">
            <v>ΜΑΡΤΙΟΣ</v>
          </cell>
        </row>
        <row r="41">
          <cell r="B41" t="str">
            <v>ΑΠΡΙΛΙΟΣ</v>
          </cell>
        </row>
        <row r="42">
          <cell r="B42" t="str">
            <v>ΜΑΙΟΣ</v>
          </cell>
        </row>
        <row r="43">
          <cell r="B43" t="str">
            <v>ΙΟΥΝΙΟΣ</v>
          </cell>
        </row>
        <row r="44">
          <cell r="B44" t="str">
            <v>ΙΟΥΛΙΟΣ</v>
          </cell>
        </row>
        <row r="45">
          <cell r="B45" t="str">
            <v>ΑΥΓΟΥΣΤΟΣ</v>
          </cell>
        </row>
        <row r="46">
          <cell r="B46" t="str">
            <v>ΣΕΠΤΕΜΒΡΙΟΣ</v>
          </cell>
        </row>
        <row r="47">
          <cell r="B47" t="str">
            <v>ΟΚΤΩΒΡΙΟΣ</v>
          </cell>
        </row>
        <row r="48">
          <cell r="B48" t="str">
            <v>ΝΟΕΜΒΡΙΟΣ</v>
          </cell>
        </row>
        <row r="49">
          <cell r="B49" t="str">
            <v>ΔΕΚΕΜΒΡΙΟΣ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9B58-F612-4158-972C-0A93C8E01F3A}">
  <dimension ref="A1:L67"/>
  <sheetViews>
    <sheetView tabSelected="1" topLeftCell="A46" zoomScale="85" zoomScaleNormal="85" workbookViewId="0">
      <selection activeCell="J67" sqref="J67"/>
    </sheetView>
  </sheetViews>
  <sheetFormatPr defaultRowHeight="16.2" x14ac:dyDescent="0.4"/>
  <cols>
    <col min="1" max="1" width="21.109375" style="13" bestFit="1" customWidth="1"/>
    <col min="2" max="2" width="11.5546875" style="13" hidden="1" customWidth="1"/>
    <col min="3" max="3" width="12.44140625" style="13" hidden="1" customWidth="1"/>
    <col min="4" max="4" width="25.5546875" style="13" hidden="1" customWidth="1"/>
    <col min="5" max="5" width="31.109375" style="13" hidden="1" customWidth="1"/>
    <col min="6" max="6" width="19.5546875" style="13" bestFit="1" customWidth="1"/>
    <col min="7" max="7" width="16.109375" style="13" bestFit="1" customWidth="1"/>
    <col min="8" max="8" width="34.5546875" style="13" customWidth="1"/>
    <col min="9" max="9" width="20.88671875" bestFit="1" customWidth="1"/>
    <col min="10" max="10" width="10" bestFit="1" customWidth="1"/>
    <col min="11" max="11" width="25.5546875" bestFit="1" customWidth="1"/>
    <col min="12" max="12" width="17.109375" customWidth="1"/>
  </cols>
  <sheetData>
    <row r="1" spans="1:12" ht="26.4" x14ac:dyDescent="0.3">
      <c r="A1" s="217">
        <v>2023</v>
      </c>
      <c r="B1" s="218"/>
      <c r="C1" s="218"/>
      <c r="D1" s="218"/>
      <c r="E1" s="218"/>
      <c r="F1" s="218"/>
      <c r="G1" s="218"/>
      <c r="H1" s="218"/>
      <c r="I1" s="17">
        <v>1000000</v>
      </c>
    </row>
    <row r="2" spans="1:12" ht="18" x14ac:dyDescent="0.4">
      <c r="A2" s="7" t="s">
        <v>0</v>
      </c>
      <c r="B2" s="219" t="s">
        <v>1</v>
      </c>
      <c r="C2" s="219"/>
      <c r="D2" s="219"/>
      <c r="E2" s="219"/>
      <c r="F2" s="8" t="s">
        <v>2</v>
      </c>
      <c r="G2" s="8" t="s">
        <v>3</v>
      </c>
      <c r="H2" s="8" t="s">
        <v>4</v>
      </c>
    </row>
    <row r="3" spans="1:12" x14ac:dyDescent="0.4">
      <c r="A3" s="9" t="s">
        <v>5</v>
      </c>
      <c r="B3" s="214" t="s">
        <v>6</v>
      </c>
      <c r="C3" s="215"/>
      <c r="D3" s="215"/>
      <c r="E3" s="216"/>
      <c r="F3" s="10">
        <v>0</v>
      </c>
      <c r="G3" s="14">
        <v>39258.53</v>
      </c>
      <c r="H3" s="16">
        <f>F3*$I$1/G3</f>
        <v>0</v>
      </c>
    </row>
    <row r="4" spans="1:12" x14ac:dyDescent="0.4">
      <c r="A4" s="9" t="s">
        <v>7</v>
      </c>
      <c r="B4" s="214" t="s">
        <v>8</v>
      </c>
      <c r="C4" s="215"/>
      <c r="D4" s="215"/>
      <c r="E4" s="216"/>
      <c r="F4" s="10">
        <v>0</v>
      </c>
      <c r="G4" s="14">
        <v>37502.28</v>
      </c>
      <c r="H4" s="16">
        <f t="shared" ref="H4:H14" si="0">F4*$I$1/G4</f>
        <v>0</v>
      </c>
    </row>
    <row r="5" spans="1:12" x14ac:dyDescent="0.4">
      <c r="A5" s="9" t="s">
        <v>9</v>
      </c>
      <c r="B5" s="214" t="s">
        <v>10</v>
      </c>
      <c r="C5" s="215"/>
      <c r="D5" s="215"/>
      <c r="E5" s="216"/>
      <c r="F5" s="10">
        <v>0</v>
      </c>
      <c r="G5" s="14">
        <v>43298.94</v>
      </c>
      <c r="H5" s="16">
        <f t="shared" si="0"/>
        <v>0</v>
      </c>
    </row>
    <row r="6" spans="1:12" x14ac:dyDescent="0.4">
      <c r="A6" s="9" t="s">
        <v>11</v>
      </c>
      <c r="B6" s="214" t="s">
        <v>12</v>
      </c>
      <c r="C6" s="215"/>
      <c r="D6" s="215"/>
      <c r="E6" s="216"/>
      <c r="F6" s="10">
        <v>0</v>
      </c>
      <c r="G6" s="14">
        <v>35759.089999999997</v>
      </c>
      <c r="H6" s="16">
        <f t="shared" si="0"/>
        <v>0</v>
      </c>
    </row>
    <row r="7" spans="1:12" x14ac:dyDescent="0.4">
      <c r="A7" s="11" t="s">
        <v>13</v>
      </c>
      <c r="B7" s="211" t="s">
        <v>14</v>
      </c>
      <c r="C7" s="212"/>
      <c r="D7" s="212"/>
      <c r="E7" s="213"/>
      <c r="F7" s="12">
        <v>2</v>
      </c>
      <c r="G7" s="15">
        <v>45972.22</v>
      </c>
      <c r="H7" s="15">
        <f t="shared" si="0"/>
        <v>43.504533824992571</v>
      </c>
    </row>
    <row r="8" spans="1:12" x14ac:dyDescent="0.4">
      <c r="A8" s="9" t="s">
        <v>15</v>
      </c>
      <c r="B8" s="214" t="s">
        <v>16</v>
      </c>
      <c r="C8" s="215"/>
      <c r="D8" s="215"/>
      <c r="E8" s="216"/>
      <c r="F8" s="10">
        <v>0</v>
      </c>
      <c r="G8" s="14">
        <v>41218.79</v>
      </c>
      <c r="H8" s="16">
        <f t="shared" si="0"/>
        <v>0</v>
      </c>
      <c r="I8" s="14">
        <v>41218.79</v>
      </c>
    </row>
    <row r="9" spans="1:12" x14ac:dyDescent="0.4">
      <c r="A9" s="9" t="s">
        <v>17</v>
      </c>
      <c r="B9" s="214" t="s">
        <v>18</v>
      </c>
      <c r="C9" s="215"/>
      <c r="D9" s="215"/>
      <c r="E9" s="216"/>
      <c r="F9" s="10">
        <v>0</v>
      </c>
      <c r="G9" s="14">
        <v>32537.21</v>
      </c>
      <c r="H9" s="16">
        <f t="shared" si="0"/>
        <v>0</v>
      </c>
      <c r="I9" s="14">
        <v>32537.21</v>
      </c>
    </row>
    <row r="10" spans="1:12" x14ac:dyDescent="0.4">
      <c r="A10" s="11" t="s">
        <v>19</v>
      </c>
      <c r="B10" s="211" t="s">
        <v>20</v>
      </c>
      <c r="C10" s="212"/>
      <c r="D10" s="212"/>
      <c r="E10" s="213"/>
      <c r="F10" s="12">
        <v>3</v>
      </c>
      <c r="G10" s="15">
        <v>35283.33</v>
      </c>
      <c r="H10" s="15">
        <f>F10*$I$1/G10</f>
        <v>85.025988193291269</v>
      </c>
      <c r="I10" s="15">
        <v>35283.33</v>
      </c>
    </row>
    <row r="11" spans="1:12" x14ac:dyDescent="0.4">
      <c r="A11" s="9" t="s">
        <v>21</v>
      </c>
      <c r="B11" s="214" t="s">
        <v>22</v>
      </c>
      <c r="C11" s="215"/>
      <c r="D11" s="215"/>
      <c r="E11" s="216"/>
      <c r="F11" s="10">
        <v>0</v>
      </c>
      <c r="G11" s="14">
        <v>41372.43</v>
      </c>
      <c r="H11" s="16">
        <f t="shared" si="0"/>
        <v>0</v>
      </c>
      <c r="I11" s="14">
        <v>41372.43</v>
      </c>
    </row>
    <row r="12" spans="1:12" x14ac:dyDescent="0.4">
      <c r="A12" s="9" t="s">
        <v>23</v>
      </c>
      <c r="B12" s="214" t="s">
        <v>24</v>
      </c>
      <c r="C12" s="215"/>
      <c r="D12" s="215"/>
      <c r="E12" s="216"/>
      <c r="F12" s="10">
        <v>0</v>
      </c>
      <c r="G12" s="14">
        <v>33492.449999999997</v>
      </c>
      <c r="H12" s="16">
        <f t="shared" si="0"/>
        <v>0</v>
      </c>
      <c r="I12" s="14">
        <v>33492.449999999997</v>
      </c>
      <c r="J12" s="29">
        <f>SUM(G3:G12)</f>
        <v>385695.27</v>
      </c>
      <c r="K12">
        <f>SUM(F3:F12)</f>
        <v>5</v>
      </c>
      <c r="L12" s="100">
        <f>(K12/J12)*1000000</f>
        <v>12.963602068544942</v>
      </c>
    </row>
    <row r="13" spans="1:12" x14ac:dyDescent="0.4">
      <c r="A13" s="11" t="s">
        <v>25</v>
      </c>
      <c r="B13" s="211" t="s">
        <v>26</v>
      </c>
      <c r="C13" s="212"/>
      <c r="D13" s="212"/>
      <c r="E13" s="213"/>
      <c r="F13" s="12">
        <v>1</v>
      </c>
      <c r="G13" s="15">
        <v>43634.26</v>
      </c>
      <c r="H13" s="15">
        <f t="shared" si="0"/>
        <v>22.917771494234117</v>
      </c>
      <c r="I13" s="15">
        <v>43634.26</v>
      </c>
      <c r="K13" s="209" t="s">
        <v>27</v>
      </c>
      <c r="L13" s="210"/>
    </row>
    <row r="14" spans="1:12" x14ac:dyDescent="0.4">
      <c r="A14" s="9" t="s">
        <v>28</v>
      </c>
      <c r="B14" s="214" t="s">
        <v>29</v>
      </c>
      <c r="C14" s="215"/>
      <c r="D14" s="215"/>
      <c r="E14" s="216"/>
      <c r="F14" s="10">
        <v>0</v>
      </c>
      <c r="G14" s="14">
        <v>35502.76</v>
      </c>
      <c r="H14" s="16">
        <f t="shared" si="0"/>
        <v>0</v>
      </c>
      <c r="I14" s="14">
        <v>35502.76</v>
      </c>
      <c r="K14" s="101" t="s">
        <v>30</v>
      </c>
      <c r="L14" s="102">
        <v>14</v>
      </c>
    </row>
    <row r="15" spans="1:12" x14ac:dyDescent="0.4">
      <c r="I15" s="29">
        <f>SUM(I8:I14)</f>
        <v>263041.23000000004</v>
      </c>
    </row>
    <row r="16" spans="1:12" ht="20.399999999999999" x14ac:dyDescent="0.5">
      <c r="H16" s="90" t="s">
        <v>31</v>
      </c>
      <c r="I16" s="221" t="s">
        <v>32</v>
      </c>
      <c r="J16" s="222"/>
      <c r="K16" s="89">
        <f>(L14/I15)*1000000</f>
        <v>53.223595403655914</v>
      </c>
    </row>
    <row r="18" spans="1:12" ht="16.350000000000001" customHeight="1" x14ac:dyDescent="0.4">
      <c r="I18" s="223" t="s">
        <v>33</v>
      </c>
      <c r="J18" s="224"/>
      <c r="K18" s="224"/>
      <c r="L18" s="225"/>
    </row>
    <row r="19" spans="1:12" ht="16.8" thickBot="1" x14ac:dyDescent="0.45"/>
    <row r="20" spans="1:12" x14ac:dyDescent="0.4">
      <c r="A20" s="205">
        <v>2024</v>
      </c>
      <c r="B20" s="206"/>
      <c r="C20" s="206"/>
      <c r="D20" s="206"/>
      <c r="E20" s="206"/>
      <c r="F20" s="207"/>
      <c r="G20" s="207"/>
      <c r="H20" s="208"/>
    </row>
    <row r="21" spans="1:12" ht="17.25" customHeight="1" x14ac:dyDescent="0.4">
      <c r="A21" s="95" t="s">
        <v>0</v>
      </c>
      <c r="F21" s="95" t="s">
        <v>34</v>
      </c>
      <c r="G21" s="95" t="s">
        <v>35</v>
      </c>
      <c r="H21" s="96" t="s">
        <v>36</v>
      </c>
      <c r="J21" s="220" t="s">
        <v>37</v>
      </c>
      <c r="K21" s="220"/>
      <c r="L21" s="220"/>
    </row>
    <row r="22" spans="1:12" x14ac:dyDescent="0.4">
      <c r="A22" s="98" t="s">
        <v>38</v>
      </c>
      <c r="F22" s="91">
        <v>0</v>
      </c>
      <c r="G22" s="97">
        <v>40324.01</v>
      </c>
      <c r="H22" s="99">
        <f t="shared" ref="H22:H30" si="1">F22*1000000/G22</f>
        <v>0</v>
      </c>
      <c r="J22" s="220"/>
      <c r="K22" s="220"/>
      <c r="L22" s="220"/>
    </row>
    <row r="23" spans="1:12" x14ac:dyDescent="0.4">
      <c r="A23" s="98" t="s">
        <v>39</v>
      </c>
      <c r="F23" s="91">
        <v>0</v>
      </c>
      <c r="G23" s="92">
        <v>41247.18</v>
      </c>
      <c r="H23" s="99">
        <f t="shared" si="1"/>
        <v>0</v>
      </c>
    </row>
    <row r="24" spans="1:12" x14ac:dyDescent="0.4">
      <c r="A24" s="98" t="s">
        <v>40</v>
      </c>
      <c r="F24" s="91">
        <v>0</v>
      </c>
      <c r="G24" s="92">
        <v>32669.85</v>
      </c>
      <c r="H24" s="99">
        <f t="shared" si="1"/>
        <v>0</v>
      </c>
    </row>
    <row r="25" spans="1:12" x14ac:dyDescent="0.4">
      <c r="A25" s="98" t="s">
        <v>41</v>
      </c>
      <c r="F25" s="91">
        <f>1+1</f>
        <v>2</v>
      </c>
      <c r="G25" s="92">
        <v>43412.37</v>
      </c>
      <c r="H25" s="99">
        <f>F25*1000000/G25</f>
        <v>46.069818349009736</v>
      </c>
    </row>
    <row r="26" spans="1:12" x14ac:dyDescent="0.4">
      <c r="A26" s="98" t="s">
        <v>42</v>
      </c>
      <c r="B26" s="13">
        <v>0</v>
      </c>
      <c r="C26" s="13">
        <v>37283.43</v>
      </c>
      <c r="D26" s="13">
        <v>0</v>
      </c>
      <c r="E26" s="13">
        <v>0</v>
      </c>
      <c r="F26" s="91">
        <v>1</v>
      </c>
      <c r="G26" s="92">
        <v>37283.43</v>
      </c>
      <c r="H26" s="99">
        <f t="shared" si="1"/>
        <v>26.821566577967747</v>
      </c>
    </row>
    <row r="27" spans="1:12" x14ac:dyDescent="0.4">
      <c r="A27" s="98" t="s">
        <v>43</v>
      </c>
      <c r="F27" s="91">
        <v>2</v>
      </c>
      <c r="G27" s="92">
        <v>36045.379999999997</v>
      </c>
      <c r="H27" s="99">
        <f t="shared" si="1"/>
        <v>55.485612858013987</v>
      </c>
    </row>
    <row r="28" spans="1:12" x14ac:dyDescent="0.4">
      <c r="A28" s="98" t="s">
        <v>44</v>
      </c>
      <c r="F28" s="91">
        <v>1</v>
      </c>
      <c r="G28" s="92">
        <v>43438.080000000002</v>
      </c>
      <c r="H28" s="99">
        <f t="shared" si="1"/>
        <v>23.021275341819894</v>
      </c>
    </row>
    <row r="29" spans="1:12" x14ac:dyDescent="0.4">
      <c r="A29" s="98" t="s">
        <v>45</v>
      </c>
      <c r="F29" s="91">
        <v>0</v>
      </c>
      <c r="G29" s="92">
        <v>33770.21</v>
      </c>
      <c r="H29" s="99">
        <f t="shared" si="1"/>
        <v>0</v>
      </c>
    </row>
    <row r="30" spans="1:12" x14ac:dyDescent="0.4">
      <c r="A30" s="98" t="s">
        <v>46</v>
      </c>
      <c r="F30" s="91">
        <v>0</v>
      </c>
      <c r="G30" s="92">
        <v>40701.65</v>
      </c>
      <c r="H30" s="99">
        <f t="shared" si="1"/>
        <v>0</v>
      </c>
    </row>
    <row r="31" spans="1:12" x14ac:dyDescent="0.4">
      <c r="A31" s="98" t="s">
        <v>47</v>
      </c>
      <c r="F31" s="91">
        <v>1</v>
      </c>
      <c r="G31" s="92">
        <v>45106.18</v>
      </c>
      <c r="H31" s="99">
        <f>F31*1000000/G31</f>
        <v>22.169911085354602</v>
      </c>
    </row>
    <row r="32" spans="1:12" x14ac:dyDescent="0.4">
      <c r="A32" s="98" t="s">
        <v>48</v>
      </c>
      <c r="F32" s="91">
        <v>1</v>
      </c>
      <c r="G32" s="92">
        <v>53534.71</v>
      </c>
      <c r="H32" s="99">
        <f t="shared" ref="H32:H33" si="2">F32*1000000/G32</f>
        <v>18.679469824343869</v>
      </c>
    </row>
    <row r="33" spans="1:12" ht="16.8" thickBot="1" x14ac:dyDescent="0.45">
      <c r="A33" s="98" t="s">
        <v>49</v>
      </c>
      <c r="F33" s="91">
        <v>1</v>
      </c>
      <c r="G33" s="92">
        <v>46389.51</v>
      </c>
      <c r="H33" s="99">
        <f t="shared" si="2"/>
        <v>21.55659760148361</v>
      </c>
    </row>
    <row r="34" spans="1:12" ht="16.8" thickBot="1" x14ac:dyDescent="0.45">
      <c r="A34" s="93" t="s">
        <v>50</v>
      </c>
      <c r="F34" s="94">
        <f>SUM(F22:F33)</f>
        <v>9</v>
      </c>
      <c r="G34" s="172">
        <f>SUM(G22:G33)</f>
        <v>493922.56000000006</v>
      </c>
      <c r="H34" s="89">
        <f>(F34/G34)*10^6</f>
        <v>18.221479901626683</v>
      </c>
    </row>
    <row r="35" spans="1:12" x14ac:dyDescent="0.4">
      <c r="H35"/>
    </row>
    <row r="36" spans="1:12" x14ac:dyDescent="0.4">
      <c r="A36" s="205">
        <v>2025</v>
      </c>
      <c r="B36" s="206"/>
      <c r="C36" s="206"/>
      <c r="D36" s="206"/>
      <c r="E36" s="206"/>
      <c r="F36" s="207"/>
      <c r="G36" s="207"/>
      <c r="H36" s="208"/>
    </row>
    <row r="37" spans="1:12" x14ac:dyDescent="0.4">
      <c r="A37" s="95" t="s">
        <v>0</v>
      </c>
      <c r="F37" s="95" t="s">
        <v>34</v>
      </c>
      <c r="G37" s="95" t="s">
        <v>35</v>
      </c>
      <c r="H37" s="96" t="s">
        <v>36</v>
      </c>
      <c r="J37" s="220" t="s">
        <v>37</v>
      </c>
      <c r="K37" s="220"/>
      <c r="L37" s="220"/>
    </row>
    <row r="38" spans="1:12" x14ac:dyDescent="0.4">
      <c r="A38" s="98" t="s">
        <v>51</v>
      </c>
      <c r="F38" s="161">
        <v>3</v>
      </c>
      <c r="G38" s="162">
        <v>48746.44</v>
      </c>
      <c r="H38" s="99">
        <f>F38*1000000/G38</f>
        <v>61.542955752255956</v>
      </c>
      <c r="J38" s="220"/>
      <c r="K38" s="220"/>
      <c r="L38" s="220"/>
    </row>
    <row r="39" spans="1:12" x14ac:dyDescent="0.4">
      <c r="A39" s="98" t="s">
        <v>52</v>
      </c>
      <c r="F39" s="161">
        <v>1</v>
      </c>
      <c r="G39" s="163">
        <v>48276.36</v>
      </c>
      <c r="H39" s="99">
        <f>F39*1000000/G39</f>
        <v>20.714072063428144</v>
      </c>
    </row>
    <row r="40" spans="1:12" x14ac:dyDescent="0.4">
      <c r="A40" s="98" t="s">
        <v>53</v>
      </c>
      <c r="F40" s="161">
        <v>0</v>
      </c>
      <c r="G40" s="163">
        <v>45454.59</v>
      </c>
      <c r="H40" s="99">
        <f>F40*1000000/G40</f>
        <v>0</v>
      </c>
    </row>
    <row r="41" spans="1:12" x14ac:dyDescent="0.4">
      <c r="A41" s="98" t="s">
        <v>54</v>
      </c>
      <c r="F41" s="161">
        <v>3</v>
      </c>
      <c r="G41" s="163">
        <v>48840.07</v>
      </c>
      <c r="H41" s="99">
        <f>F41*1000000/G41</f>
        <v>61.424973387630281</v>
      </c>
    </row>
    <row r="42" spans="1:12" x14ac:dyDescent="0.4">
      <c r="A42" s="98" t="s">
        <v>55</v>
      </c>
      <c r="B42" s="13">
        <v>0</v>
      </c>
      <c r="C42" s="13">
        <v>37283.43</v>
      </c>
      <c r="D42" s="13">
        <v>0</v>
      </c>
      <c r="E42" s="13">
        <v>0</v>
      </c>
      <c r="F42" s="161">
        <v>0</v>
      </c>
      <c r="G42" s="163">
        <v>54991.94</v>
      </c>
      <c r="H42" s="99">
        <f>F42*1000000/G42</f>
        <v>0</v>
      </c>
    </row>
    <row r="43" spans="1:12" x14ac:dyDescent="0.4">
      <c r="A43" s="98" t="s">
        <v>56</v>
      </c>
      <c r="F43" s="91">
        <v>0</v>
      </c>
      <c r="G43" s="163">
        <v>54862.98</v>
      </c>
      <c r="H43" s="99">
        <f t="shared" ref="H43:H49" si="3">F43*1000000/G43</f>
        <v>0</v>
      </c>
    </row>
    <row r="44" spans="1:12" x14ac:dyDescent="0.4">
      <c r="A44" s="98" t="s">
        <v>57</v>
      </c>
      <c r="F44" s="91">
        <v>3</v>
      </c>
      <c r="G44" s="163">
        <v>60450.36</v>
      </c>
      <c r="H44" s="99">
        <f t="shared" si="3"/>
        <v>49.627496014912069</v>
      </c>
    </row>
    <row r="45" spans="1:12" x14ac:dyDescent="0.4">
      <c r="A45" s="98" t="s">
        <v>58</v>
      </c>
      <c r="F45" s="91">
        <v>0</v>
      </c>
      <c r="G45" s="163">
        <v>45208.79</v>
      </c>
      <c r="H45" s="99">
        <f t="shared" si="3"/>
        <v>0</v>
      </c>
    </row>
    <row r="46" spans="1:12" x14ac:dyDescent="0.4">
      <c r="A46" s="98" t="s">
        <v>59</v>
      </c>
      <c r="F46" s="91">
        <v>0</v>
      </c>
      <c r="G46" s="92">
        <v>58899.97</v>
      </c>
      <c r="H46" s="99">
        <f t="shared" si="3"/>
        <v>0</v>
      </c>
    </row>
    <row r="47" spans="1:12" x14ac:dyDescent="0.4">
      <c r="A47" s="98" t="s">
        <v>60</v>
      </c>
      <c r="F47" s="91">
        <v>2</v>
      </c>
      <c r="G47" s="171">
        <v>60230.65</v>
      </c>
      <c r="H47" s="99">
        <f t="shared" si="3"/>
        <v>33.205685145353733</v>
      </c>
    </row>
    <row r="48" spans="1:12" x14ac:dyDescent="0.4">
      <c r="A48" s="98" t="s">
        <v>61</v>
      </c>
      <c r="F48" s="91">
        <v>0</v>
      </c>
      <c r="G48" s="92">
        <v>60273.48</v>
      </c>
      <c r="H48" s="99">
        <f t="shared" si="3"/>
        <v>0</v>
      </c>
    </row>
    <row r="49" spans="1:10" x14ac:dyDescent="0.4">
      <c r="A49" s="98" t="s">
        <v>62</v>
      </c>
      <c r="F49" s="91">
        <v>0</v>
      </c>
      <c r="G49" s="92">
        <v>55982.26</v>
      </c>
      <c r="H49" s="173">
        <f t="shared" si="3"/>
        <v>0</v>
      </c>
      <c r="I49" s="1" t="s">
        <v>63</v>
      </c>
      <c r="J49" s="175">
        <f>(G50-G34)/G34</f>
        <v>0.30024004167778839</v>
      </c>
    </row>
    <row r="50" spans="1:10" ht="18.600000000000001" x14ac:dyDescent="0.4">
      <c r="A50" s="93" t="s">
        <v>50</v>
      </c>
      <c r="F50" s="94">
        <f>SUM(F38:F49)</f>
        <v>12</v>
      </c>
      <c r="G50" s="172">
        <f>SUM(G38:G49)</f>
        <v>642217.89</v>
      </c>
      <c r="H50" s="174">
        <f>(F50/G50)*10^6</f>
        <v>18.685247151866168</v>
      </c>
      <c r="I50" s="1" t="s">
        <v>64</v>
      </c>
      <c r="J50" s="175">
        <f>(H50-H34)/H34</f>
        <v>2.5451678609160783E-2</v>
      </c>
    </row>
    <row r="53" spans="1:10" x14ac:dyDescent="0.4">
      <c r="A53" s="205">
        <v>2026</v>
      </c>
      <c r="B53" s="206"/>
      <c r="C53" s="206"/>
      <c r="D53" s="206"/>
      <c r="E53" s="206"/>
      <c r="F53" s="207"/>
      <c r="G53" s="207"/>
      <c r="H53" s="208"/>
    </row>
    <row r="54" spans="1:10" x14ac:dyDescent="0.4">
      <c r="A54" s="95" t="s">
        <v>0</v>
      </c>
      <c r="F54" s="95" t="s">
        <v>34</v>
      </c>
      <c r="G54" s="95" t="s">
        <v>35</v>
      </c>
      <c r="H54" s="96" t="s">
        <v>36</v>
      </c>
    </row>
    <row r="55" spans="1:10" x14ac:dyDescent="0.4">
      <c r="A55" s="98" t="s">
        <v>65</v>
      </c>
      <c r="F55" s="161">
        <v>3</v>
      </c>
      <c r="G55" s="162">
        <v>55211.62</v>
      </c>
      <c r="H55" s="99">
        <f>F55*1000000/G55</f>
        <v>54.336387883565088</v>
      </c>
    </row>
    <row r="56" spans="1:10" x14ac:dyDescent="0.4">
      <c r="A56" s="98" t="s">
        <v>66</v>
      </c>
      <c r="F56" s="161">
        <v>1</v>
      </c>
      <c r="G56" s="162">
        <v>57391.79</v>
      </c>
      <c r="H56" s="99">
        <f>F56*1000000/G56</f>
        <v>17.424094979438696</v>
      </c>
    </row>
    <row r="57" spans="1:10" x14ac:dyDescent="0.4">
      <c r="A57" s="98" t="s">
        <v>67</v>
      </c>
      <c r="F57" s="161">
        <v>3</v>
      </c>
      <c r="G57" s="162">
        <v>53414.87</v>
      </c>
      <c r="H57" s="99">
        <f>F57*1000000/G57</f>
        <v>56.164135567492721</v>
      </c>
    </row>
    <row r="58" spans="1:10" x14ac:dyDescent="0.4">
      <c r="A58" s="98" t="s">
        <v>68</v>
      </c>
      <c r="F58" s="161">
        <v>1</v>
      </c>
      <c r="G58" s="162">
        <v>53802.18</v>
      </c>
      <c r="H58" s="99">
        <f>F58*1000000/G58</f>
        <v>18.586607457169951</v>
      </c>
    </row>
    <row r="59" spans="1:10" x14ac:dyDescent="0.4">
      <c r="A59" s="98" t="s">
        <v>55</v>
      </c>
      <c r="B59" s="13">
        <v>0</v>
      </c>
      <c r="C59" s="13">
        <v>37283.43</v>
      </c>
      <c r="D59" s="13">
        <v>0</v>
      </c>
      <c r="E59" s="13">
        <v>0</v>
      </c>
      <c r="F59" s="161">
        <v>4</v>
      </c>
      <c r="G59" s="162">
        <v>58639.79</v>
      </c>
      <c r="H59" s="99">
        <f>F59*1000000/G59</f>
        <v>68.213068293730245</v>
      </c>
    </row>
    <row r="60" spans="1:10" x14ac:dyDescent="0.4">
      <c r="A60" s="98" t="s">
        <v>56</v>
      </c>
      <c r="F60" s="161">
        <v>0</v>
      </c>
      <c r="G60" s="162">
        <v>0</v>
      </c>
      <c r="H60" s="99" t="e">
        <f t="shared" ref="H60:H66" si="4">F60*1000000/G60</f>
        <v>#DIV/0!</v>
      </c>
    </row>
    <row r="61" spans="1:10" x14ac:dyDescent="0.4">
      <c r="A61" s="98" t="s">
        <v>57</v>
      </c>
      <c r="F61" s="161">
        <v>0</v>
      </c>
      <c r="G61" s="162">
        <v>0</v>
      </c>
      <c r="H61" s="99" t="e">
        <f t="shared" si="4"/>
        <v>#DIV/0!</v>
      </c>
    </row>
    <row r="62" spans="1:10" x14ac:dyDescent="0.4">
      <c r="A62" s="98" t="s">
        <v>58</v>
      </c>
      <c r="F62" s="161">
        <v>0</v>
      </c>
      <c r="G62" s="162">
        <v>0</v>
      </c>
      <c r="H62" s="99" t="e">
        <f t="shared" si="4"/>
        <v>#DIV/0!</v>
      </c>
    </row>
    <row r="63" spans="1:10" x14ac:dyDescent="0.4">
      <c r="A63" s="98" t="s">
        <v>59</v>
      </c>
      <c r="F63" s="161">
        <v>0</v>
      </c>
      <c r="G63" s="162">
        <v>0</v>
      </c>
      <c r="H63" s="99" t="e">
        <f t="shared" si="4"/>
        <v>#DIV/0!</v>
      </c>
    </row>
    <row r="64" spans="1:10" x14ac:dyDescent="0.4">
      <c r="A64" s="98" t="s">
        <v>60</v>
      </c>
      <c r="F64" s="161">
        <v>0</v>
      </c>
      <c r="G64" s="162">
        <v>0</v>
      </c>
      <c r="H64" s="99" t="e">
        <f t="shared" si="4"/>
        <v>#DIV/0!</v>
      </c>
    </row>
    <row r="65" spans="1:10" x14ac:dyDescent="0.4">
      <c r="A65" s="98" t="s">
        <v>61</v>
      </c>
      <c r="F65" s="161">
        <v>0</v>
      </c>
      <c r="G65" s="162">
        <v>0</v>
      </c>
      <c r="H65" s="99" t="e">
        <f t="shared" si="4"/>
        <v>#DIV/0!</v>
      </c>
    </row>
    <row r="66" spans="1:10" x14ac:dyDescent="0.4">
      <c r="A66" s="98" t="s">
        <v>62</v>
      </c>
      <c r="F66" s="161">
        <v>0</v>
      </c>
      <c r="G66" s="162">
        <v>0</v>
      </c>
      <c r="H66" s="173" t="e">
        <f t="shared" si="4"/>
        <v>#DIV/0!</v>
      </c>
      <c r="I66" s="1" t="s">
        <v>69</v>
      </c>
      <c r="J66" s="175">
        <f>(G67-G50)/G50</f>
        <v>-0.56640845056496325</v>
      </c>
    </row>
    <row r="67" spans="1:10" ht="18.600000000000001" x14ac:dyDescent="0.4">
      <c r="A67" s="93" t="s">
        <v>50</v>
      </c>
      <c r="F67" s="94">
        <f>SUM(F55:F66)</f>
        <v>12</v>
      </c>
      <c r="G67" s="172">
        <f>SUM(G55:G66)</f>
        <v>278460.25</v>
      </c>
      <c r="H67" s="174">
        <f>(F67/G67)*10^6</f>
        <v>43.094122051531592</v>
      </c>
      <c r="I67" s="1" t="s">
        <v>70</v>
      </c>
      <c r="J67" s="175">
        <f>(H67-H50)/H50</f>
        <v>1.3063180112780908</v>
      </c>
    </row>
  </sheetData>
  <mergeCells count="22">
    <mergeCell ref="A36:H36"/>
    <mergeCell ref="J21:L22"/>
    <mergeCell ref="J37:L38"/>
    <mergeCell ref="A20:H20"/>
    <mergeCell ref="I16:J16"/>
    <mergeCell ref="I18:L18"/>
    <mergeCell ref="A53:H53"/>
    <mergeCell ref="K13:L13"/>
    <mergeCell ref="B13:E13"/>
    <mergeCell ref="B14:E14"/>
    <mergeCell ref="A1:H1"/>
    <mergeCell ref="B7:E7"/>
    <mergeCell ref="B8:E8"/>
    <mergeCell ref="B9:E9"/>
    <mergeCell ref="B10:E10"/>
    <mergeCell ref="B11:E11"/>
    <mergeCell ref="B12:E12"/>
    <mergeCell ref="B2:E2"/>
    <mergeCell ref="B3:E3"/>
    <mergeCell ref="B4:E4"/>
    <mergeCell ref="B5:E5"/>
    <mergeCell ref="B6:E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D370-CC43-42C1-AE53-231DA1E3E71C}">
  <dimension ref="A1:U67"/>
  <sheetViews>
    <sheetView topLeftCell="A40" zoomScale="85" zoomScaleNormal="85" workbookViewId="0">
      <selection activeCell="H66" sqref="H66"/>
    </sheetView>
  </sheetViews>
  <sheetFormatPr defaultRowHeight="14.4" x14ac:dyDescent="0.3"/>
  <cols>
    <col min="1" max="1" width="18.44140625" bestFit="1" customWidth="1"/>
    <col min="2" max="2" width="17.88671875" bestFit="1" customWidth="1"/>
    <col min="3" max="3" width="12.5546875" bestFit="1" customWidth="1"/>
    <col min="4" max="4" width="14.44140625" bestFit="1" customWidth="1"/>
    <col min="5" max="5" width="16" bestFit="1" customWidth="1"/>
    <col min="6" max="6" width="10.21875" bestFit="1" customWidth="1"/>
    <col min="8" max="8" width="15" bestFit="1" customWidth="1"/>
    <col min="11" max="11" width="18.44140625" hidden="1" customWidth="1"/>
    <col min="12" max="12" width="17.88671875" hidden="1" customWidth="1"/>
    <col min="13" max="13" width="10.109375" hidden="1" customWidth="1"/>
    <col min="14" max="14" width="14.44140625" hidden="1" customWidth="1"/>
    <col min="15" max="15" width="9" hidden="1" customWidth="1"/>
    <col min="16" max="16" width="8.88671875" customWidth="1"/>
    <col min="17" max="17" width="10.44140625" customWidth="1"/>
    <col min="18" max="18" width="10.109375" customWidth="1"/>
    <col min="20" max="20" width="14.44140625" bestFit="1" customWidth="1"/>
  </cols>
  <sheetData>
    <row r="1" spans="1:21" ht="18" customHeight="1" thickBot="1" x14ac:dyDescent="0.35">
      <c r="A1" s="200" t="s">
        <v>71</v>
      </c>
      <c r="B1" s="201"/>
      <c r="C1" s="201"/>
      <c r="D1" s="201"/>
      <c r="E1" s="20"/>
    </row>
    <row r="2" spans="1:21" ht="18.600000000000001" thickBot="1" x14ac:dyDescent="0.35">
      <c r="A2" s="33" t="s">
        <v>0</v>
      </c>
      <c r="B2" s="34" t="s">
        <v>72</v>
      </c>
      <c r="C2" s="34" t="s">
        <v>73</v>
      </c>
      <c r="D2" s="35" t="s">
        <v>74</v>
      </c>
      <c r="E2" s="20"/>
      <c r="K2" s="200">
        <v>2023</v>
      </c>
      <c r="L2" s="201"/>
      <c r="M2" s="201"/>
      <c r="N2" s="201"/>
      <c r="O2" s="20"/>
      <c r="T2" s="55" t="s">
        <v>75</v>
      </c>
      <c r="U2" s="56">
        <v>31.5</v>
      </c>
    </row>
    <row r="3" spans="1:21" ht="16.2" thickBot="1" x14ac:dyDescent="0.35">
      <c r="A3" s="36" t="s">
        <v>5</v>
      </c>
      <c r="B3" s="41">
        <v>50</v>
      </c>
      <c r="C3" s="27">
        <v>1955334.2920000001</v>
      </c>
      <c r="D3" s="37">
        <f t="shared" ref="D3:D15" si="0">(B3/C3)*10^6</f>
        <v>25.571075086530524</v>
      </c>
      <c r="E3" s="20"/>
      <c r="K3" s="22" t="s">
        <v>0</v>
      </c>
      <c r="L3" s="23" t="s">
        <v>72</v>
      </c>
      <c r="M3" s="23" t="s">
        <v>76</v>
      </c>
      <c r="N3" s="24" t="s">
        <v>74</v>
      </c>
      <c r="O3" s="20"/>
      <c r="T3" s="57" t="s">
        <v>77</v>
      </c>
      <c r="U3" s="58">
        <v>36.700000000000003</v>
      </c>
    </row>
    <row r="4" spans="1:21" ht="16.2" thickBot="1" x14ac:dyDescent="0.35">
      <c r="A4" s="36" t="s">
        <v>7</v>
      </c>
      <c r="B4" s="41">
        <v>44</v>
      </c>
      <c r="C4" s="27">
        <v>2140302.2579999901</v>
      </c>
      <c r="D4" s="37">
        <f t="shared" si="0"/>
        <v>20.55784403139204</v>
      </c>
      <c r="E4" s="20"/>
      <c r="H4" s="60">
        <v>2023</v>
      </c>
      <c r="K4" s="25" t="s">
        <v>5</v>
      </c>
      <c r="L4" s="21">
        <v>51</v>
      </c>
      <c r="M4" s="27">
        <v>2486629.5290000001</v>
      </c>
      <c r="N4" s="26">
        <f>(L4/M4)*10^6</f>
        <v>20.509689684458017</v>
      </c>
      <c r="O4" s="20"/>
      <c r="T4" s="57" t="s">
        <v>78</v>
      </c>
      <c r="U4" s="59">
        <v>36.200000000000003</v>
      </c>
    </row>
    <row r="5" spans="1:21" ht="16.2" thickBot="1" x14ac:dyDescent="0.35">
      <c r="A5" s="36" t="s">
        <v>9</v>
      </c>
      <c r="B5" s="41">
        <v>42</v>
      </c>
      <c r="C5" s="27">
        <v>2099863.66</v>
      </c>
      <c r="D5" s="37">
        <f t="shared" si="0"/>
        <v>20.001298560497968</v>
      </c>
      <c r="E5" s="20"/>
      <c r="G5" s="18"/>
      <c r="H5" s="60" t="s">
        <v>79</v>
      </c>
      <c r="I5" s="60">
        <v>20.8</v>
      </c>
      <c r="K5" s="25" t="s">
        <v>7</v>
      </c>
      <c r="L5" s="21">
        <f>89-51</f>
        <v>38</v>
      </c>
      <c r="M5" s="27">
        <v>1894916.63499999</v>
      </c>
      <c r="N5" s="26">
        <f t="shared" ref="N5:N10" si="1">(L5/M5)*10^6</f>
        <v>20.053652650529507</v>
      </c>
      <c r="O5" s="20"/>
      <c r="T5" s="57" t="s">
        <v>80</v>
      </c>
      <c r="U5" s="59">
        <v>37.1</v>
      </c>
    </row>
    <row r="6" spans="1:21" x14ac:dyDescent="0.3">
      <c r="A6" s="36" t="s">
        <v>11</v>
      </c>
      <c r="B6" s="41">
        <v>37</v>
      </c>
      <c r="C6" s="27">
        <v>1730326.878</v>
      </c>
      <c r="D6" s="37">
        <f t="shared" si="0"/>
        <v>21.383242941221884</v>
      </c>
      <c r="E6" s="20"/>
      <c r="H6" s="60" t="s">
        <v>81</v>
      </c>
      <c r="I6" s="60">
        <v>378</v>
      </c>
      <c r="K6" s="25" t="s">
        <v>9</v>
      </c>
      <c r="L6" s="21">
        <f>139-89</f>
        <v>50</v>
      </c>
      <c r="M6" s="27">
        <v>2240590.59</v>
      </c>
      <c r="N6" s="26">
        <f t="shared" si="1"/>
        <v>22.315544938533375</v>
      </c>
      <c r="O6" s="20"/>
      <c r="P6" s="18"/>
    </row>
    <row r="7" spans="1:21" x14ac:dyDescent="0.3">
      <c r="A7" s="38" t="s">
        <v>13</v>
      </c>
      <c r="B7" s="41">
        <v>46</v>
      </c>
      <c r="C7" s="27">
        <v>1969517.0464999902</v>
      </c>
      <c r="D7" s="37">
        <f t="shared" si="0"/>
        <v>23.355979620357264</v>
      </c>
      <c r="E7" s="20"/>
      <c r="K7" s="25" t="s">
        <v>11</v>
      </c>
      <c r="L7" s="21">
        <f>186-139</f>
        <v>47</v>
      </c>
      <c r="M7" s="27">
        <v>1775036.96999999</v>
      </c>
      <c r="N7" s="26">
        <f t="shared" si="1"/>
        <v>26.478321744476265</v>
      </c>
      <c r="O7" s="20"/>
    </row>
    <row r="8" spans="1:21" ht="15" thickBot="1" x14ac:dyDescent="0.35">
      <c r="A8" s="36" t="s">
        <v>15</v>
      </c>
      <c r="B8" s="41">
        <v>25</v>
      </c>
      <c r="C8" s="27">
        <v>1675053.5381999901</v>
      </c>
      <c r="D8" s="37">
        <f t="shared" si="0"/>
        <v>14.924896088315458</v>
      </c>
      <c r="E8" s="20"/>
      <c r="K8" s="61" t="s">
        <v>13</v>
      </c>
      <c r="L8" s="62">
        <f>240-186</f>
        <v>54</v>
      </c>
      <c r="M8" s="63">
        <v>2474175.9</v>
      </c>
      <c r="N8" s="64">
        <f t="shared" si="1"/>
        <v>21.82544903133201</v>
      </c>
      <c r="O8" s="20"/>
    </row>
    <row r="9" spans="1:21" x14ac:dyDescent="0.3">
      <c r="A9" s="36" t="s">
        <v>17</v>
      </c>
      <c r="B9" s="41">
        <v>19</v>
      </c>
      <c r="C9" s="27">
        <v>1843807.72999999</v>
      </c>
      <c r="D9" s="37">
        <f t="shared" si="0"/>
        <v>10.304762091435697</v>
      </c>
      <c r="E9" s="20"/>
      <c r="H9" s="74" t="s">
        <v>82</v>
      </c>
      <c r="I9" s="75">
        <v>24.43</v>
      </c>
      <c r="J9" s="76" t="s">
        <v>83</v>
      </c>
      <c r="K9" s="77" t="s">
        <v>15</v>
      </c>
      <c r="L9" s="77">
        <f>263-240</f>
        <v>23</v>
      </c>
      <c r="M9" s="78">
        <v>2371863.9339999999</v>
      </c>
      <c r="N9" s="79">
        <f t="shared" si="1"/>
        <v>9.6970149384631608</v>
      </c>
      <c r="O9" s="77"/>
      <c r="P9" s="76"/>
      <c r="Q9" s="76">
        <v>884</v>
      </c>
      <c r="R9" s="80" t="s">
        <v>84</v>
      </c>
    </row>
    <row r="10" spans="1:21" x14ac:dyDescent="0.3">
      <c r="A10" s="38" t="s">
        <v>19</v>
      </c>
      <c r="B10" s="41">
        <v>21</v>
      </c>
      <c r="C10" s="27">
        <v>2290842.9588000001</v>
      </c>
      <c r="D10" s="37">
        <f t="shared" si="0"/>
        <v>9.1669312902183027</v>
      </c>
      <c r="E10" s="20"/>
      <c r="H10" s="81"/>
      <c r="K10" s="20" t="s">
        <v>17</v>
      </c>
      <c r="L10" s="20">
        <f>285-263</f>
        <v>22</v>
      </c>
      <c r="M10" s="69">
        <v>1545130.142</v>
      </c>
      <c r="N10" s="70">
        <f t="shared" si="1"/>
        <v>14.238282848798377</v>
      </c>
      <c r="O10" s="20"/>
      <c r="P10" s="137">
        <f>Q9/I9</f>
        <v>36.185018419975442</v>
      </c>
      <c r="R10" s="82"/>
    </row>
    <row r="11" spans="1:21" x14ac:dyDescent="0.3">
      <c r="A11" s="36" t="s">
        <v>21</v>
      </c>
      <c r="B11" s="41">
        <v>23</v>
      </c>
      <c r="C11" s="27">
        <v>1898775.5660000001</v>
      </c>
      <c r="D11" s="37">
        <f t="shared" si="0"/>
        <v>12.113069291518364</v>
      </c>
      <c r="E11" s="20"/>
      <c r="H11" s="81" t="s">
        <v>85</v>
      </c>
      <c r="I11" s="72">
        <v>23.38</v>
      </c>
      <c r="J11" t="s">
        <v>83</v>
      </c>
      <c r="K11" s="73" t="s">
        <v>19</v>
      </c>
      <c r="L11" s="20">
        <f>312-285</f>
        <v>27</v>
      </c>
      <c r="M11" s="69"/>
      <c r="N11" s="20"/>
      <c r="O11" s="20"/>
      <c r="P11" s="137"/>
      <c r="Q11">
        <v>487</v>
      </c>
      <c r="R11" s="82" t="s">
        <v>84</v>
      </c>
    </row>
    <row r="12" spans="1:21" x14ac:dyDescent="0.3">
      <c r="A12" s="36" t="s">
        <v>23</v>
      </c>
      <c r="B12" s="41">
        <v>63</v>
      </c>
      <c r="C12" s="27">
        <v>1814909.4559999902</v>
      </c>
      <c r="D12" s="37">
        <f t="shared" si="0"/>
        <v>34.712475485609211</v>
      </c>
      <c r="E12" s="20"/>
      <c r="H12" s="81"/>
      <c r="K12" s="20" t="s">
        <v>21</v>
      </c>
      <c r="L12" s="20">
        <f>375-312</f>
        <v>63</v>
      </c>
      <c r="M12" s="69"/>
      <c r="N12" s="20"/>
      <c r="O12" s="20"/>
      <c r="P12" s="137">
        <f>Q11/I11</f>
        <v>20.829769033361849</v>
      </c>
      <c r="R12" s="82"/>
    </row>
    <row r="13" spans="1:21" x14ac:dyDescent="0.3">
      <c r="A13" s="36" t="s">
        <v>25</v>
      </c>
      <c r="B13" s="41">
        <v>62</v>
      </c>
      <c r="C13" s="27">
        <v>2076562.3185000001</v>
      </c>
      <c r="D13" s="37">
        <f t="shared" si="0"/>
        <v>29.857037974562477</v>
      </c>
      <c r="E13" s="20"/>
      <c r="H13" s="81" t="s">
        <v>86</v>
      </c>
      <c r="I13">
        <v>1.05</v>
      </c>
      <c r="J13" t="s">
        <v>83</v>
      </c>
      <c r="K13" s="20" t="s">
        <v>23</v>
      </c>
      <c r="L13" s="20">
        <f>484-375</f>
        <v>109</v>
      </c>
      <c r="M13" s="69"/>
      <c r="N13" s="20"/>
      <c r="O13" s="20"/>
      <c r="P13" s="137"/>
      <c r="Q13">
        <v>397</v>
      </c>
      <c r="R13" s="82" t="s">
        <v>84</v>
      </c>
    </row>
    <row r="14" spans="1:21" ht="15" thickBot="1" x14ac:dyDescent="0.35">
      <c r="A14" s="39" t="s">
        <v>28</v>
      </c>
      <c r="B14" s="42">
        <v>55</v>
      </c>
      <c r="C14" s="40">
        <v>1886489.3012000001</v>
      </c>
      <c r="D14" s="45">
        <f>(B14/C14)*10^6</f>
        <v>29.15468429373778</v>
      </c>
      <c r="E14" s="20"/>
      <c r="H14" s="83"/>
      <c r="I14" s="84"/>
      <c r="J14" s="84"/>
      <c r="K14" s="85" t="s">
        <v>25</v>
      </c>
      <c r="L14" s="85">
        <f>497-484</f>
        <v>13</v>
      </c>
      <c r="M14" s="86"/>
      <c r="N14" s="85"/>
      <c r="O14" s="85" t="s">
        <v>87</v>
      </c>
      <c r="P14" s="152">
        <f>Q13/I13</f>
        <v>378.09523809523807</v>
      </c>
      <c r="Q14" s="84"/>
      <c r="R14" s="87"/>
    </row>
    <row r="15" spans="1:21" ht="15.6" thickTop="1" thickBot="1" x14ac:dyDescent="0.35">
      <c r="A15" s="20"/>
      <c r="B15" s="19">
        <f>SUM(B3:B14)</f>
        <v>487</v>
      </c>
      <c r="C15" s="28">
        <f>SUM(C3:C14)</f>
        <v>23381785.003199946</v>
      </c>
      <c r="D15" s="54">
        <f t="shared" si="0"/>
        <v>20.828178855179402</v>
      </c>
      <c r="E15" s="20"/>
      <c r="K15" s="65" t="s">
        <v>28</v>
      </c>
      <c r="L15" s="66"/>
      <c r="M15" s="67"/>
      <c r="N15" s="68"/>
      <c r="O15" s="20"/>
    </row>
    <row r="16" spans="1:21" s="119" customFormat="1" ht="15" thickTop="1" x14ac:dyDescent="0.3">
      <c r="K16" s="120"/>
      <c r="L16" s="121">
        <f>SUM(L4:L15)</f>
        <v>497</v>
      </c>
      <c r="M16" s="122">
        <f>SUM(M4:M15)</f>
        <v>14788343.699999981</v>
      </c>
      <c r="N16" s="123">
        <f>(L16/M16)*10^6</f>
        <v>33.607549978703879</v>
      </c>
      <c r="O16" s="120"/>
    </row>
    <row r="18" spans="1:18" ht="18.600000000000001" thickBot="1" x14ac:dyDescent="0.35">
      <c r="A18" s="200" t="s">
        <v>88</v>
      </c>
      <c r="B18" s="201"/>
      <c r="C18" s="201"/>
      <c r="D18" s="201"/>
      <c r="E18" s="202" t="s">
        <v>89</v>
      </c>
      <c r="F18" s="202"/>
      <c r="H18" s="60">
        <v>2024</v>
      </c>
    </row>
    <row r="19" spans="1:18" ht="15.6" x14ac:dyDescent="0.3">
      <c r="A19" s="33" t="s">
        <v>0</v>
      </c>
      <c r="B19" s="34" t="s">
        <v>72</v>
      </c>
      <c r="C19" s="34" t="s">
        <v>73</v>
      </c>
      <c r="D19" s="35" t="s">
        <v>74</v>
      </c>
      <c r="E19" s="116" t="s">
        <v>90</v>
      </c>
      <c r="F19" s="116" t="s">
        <v>91</v>
      </c>
      <c r="H19" s="60" t="s">
        <v>79</v>
      </c>
      <c r="I19" s="153">
        <f>D32</f>
        <v>22.340153623402777</v>
      </c>
    </row>
    <row r="20" spans="1:18" x14ac:dyDescent="0.3">
      <c r="A20" s="25" t="s">
        <v>92</v>
      </c>
      <c r="B20" s="113">
        <v>48</v>
      </c>
      <c r="C20" s="27">
        <v>1838713.219</v>
      </c>
      <c r="D20" s="37">
        <f t="shared" ref="D20:D31" si="2">(B20/C20)*10^6</f>
        <v>26.105212876048835</v>
      </c>
      <c r="E20" s="117">
        <f>(B20/B3)-1</f>
        <v>-4.0000000000000036E-2</v>
      </c>
      <c r="F20" s="118">
        <f>(C20/C3)-1</f>
        <v>-5.9642524287095156E-2</v>
      </c>
      <c r="H20" s="60" t="s">
        <v>81</v>
      </c>
      <c r="I20" s="60">
        <v>104.6</v>
      </c>
    </row>
    <row r="21" spans="1:18" x14ac:dyDescent="0.3">
      <c r="A21" s="25" t="s">
        <v>39</v>
      </c>
      <c r="B21" s="113">
        <v>46</v>
      </c>
      <c r="C21" s="27">
        <v>1823210.6928999901</v>
      </c>
      <c r="D21" s="37">
        <f t="shared" si="2"/>
        <v>25.230216221929144</v>
      </c>
      <c r="E21" s="118">
        <f t="shared" ref="E21:F21" si="3">(B21/B4)-1</f>
        <v>4.5454545454545414E-2</v>
      </c>
      <c r="F21" s="118">
        <f t="shared" si="3"/>
        <v>-0.14815270315899531</v>
      </c>
    </row>
    <row r="22" spans="1:18" ht="15" thickBot="1" x14ac:dyDescent="0.35">
      <c r="A22" s="25" t="s">
        <v>40</v>
      </c>
      <c r="B22" s="113">
        <v>67</v>
      </c>
      <c r="C22" s="27">
        <v>1740731.3569999898</v>
      </c>
      <c r="D22" s="37">
        <f t="shared" si="2"/>
        <v>38.489569186292535</v>
      </c>
      <c r="E22" s="118">
        <f t="shared" ref="E22:F22" si="4">(B22/B5)-1</f>
        <v>0.59523809523809534</v>
      </c>
      <c r="F22" s="118">
        <f t="shared" si="4"/>
        <v>-0.17102648607196258</v>
      </c>
    </row>
    <row r="23" spans="1:18" x14ac:dyDescent="0.3">
      <c r="A23" s="25" t="s">
        <v>41</v>
      </c>
      <c r="B23" s="113">
        <v>48</v>
      </c>
      <c r="C23" s="27">
        <v>2034388.1060029999</v>
      </c>
      <c r="D23" s="37">
        <f t="shared" si="2"/>
        <v>23.594318045000023</v>
      </c>
      <c r="E23" s="118">
        <f t="shared" ref="E23:F23" si="5">(B23/B6)-1</f>
        <v>0.29729729729729737</v>
      </c>
      <c r="F23" s="117">
        <f t="shared" si="5"/>
        <v>0.17572473263228128</v>
      </c>
      <c r="H23" s="74" t="s">
        <v>82</v>
      </c>
      <c r="I23" s="75">
        <v>26.5</v>
      </c>
      <c r="J23" s="76" t="s">
        <v>83</v>
      </c>
      <c r="K23" s="77" t="s">
        <v>15</v>
      </c>
      <c r="L23" s="77">
        <f>263-240</f>
        <v>23</v>
      </c>
      <c r="M23" s="78">
        <v>2371863.9339999999</v>
      </c>
      <c r="N23" s="79">
        <f t="shared" ref="N23:N24" si="6">(L23/M23)*10^6</f>
        <v>9.6970149384631608</v>
      </c>
      <c r="O23" s="77"/>
      <c r="P23" s="76"/>
      <c r="Q23" s="76">
        <v>887</v>
      </c>
      <c r="R23" s="80" t="s">
        <v>84</v>
      </c>
    </row>
    <row r="24" spans="1:18" x14ac:dyDescent="0.3">
      <c r="A24" s="114" t="s">
        <v>42</v>
      </c>
      <c r="B24" s="113">
        <v>31</v>
      </c>
      <c r="C24" s="27">
        <v>1723496.46899999</v>
      </c>
      <c r="D24" s="37">
        <f t="shared" si="2"/>
        <v>17.986691912392992</v>
      </c>
      <c r="E24" s="117">
        <f t="shared" ref="E24:F24" si="7">(B24/B7)-1</f>
        <v>-0.32608695652173914</v>
      </c>
      <c r="F24" s="118">
        <f t="shared" si="7"/>
        <v>-0.12491416509301145</v>
      </c>
      <c r="H24" s="81"/>
      <c r="K24" s="20" t="s">
        <v>17</v>
      </c>
      <c r="L24" s="20">
        <f>285-263</f>
        <v>22</v>
      </c>
      <c r="M24" s="69">
        <v>1545130.142</v>
      </c>
      <c r="N24" s="70">
        <f t="shared" si="6"/>
        <v>14.238282848798377</v>
      </c>
      <c r="O24" s="20"/>
      <c r="P24" s="137">
        <f>Q23/I23</f>
        <v>33.471698113207545</v>
      </c>
      <c r="R24" s="82"/>
    </row>
    <row r="25" spans="1:18" x14ac:dyDescent="0.3">
      <c r="A25" s="25" t="s">
        <v>43</v>
      </c>
      <c r="B25" s="113">
        <v>12</v>
      </c>
      <c r="C25" s="27">
        <v>1665176.628</v>
      </c>
      <c r="D25" s="37">
        <f t="shared" si="2"/>
        <v>7.2064427269873974</v>
      </c>
      <c r="E25" s="117">
        <f t="shared" ref="E25:F25" si="8">(B25/B8)-1</f>
        <v>-0.52</v>
      </c>
      <c r="F25" s="118">
        <f t="shared" si="8"/>
        <v>-5.8964743363389971E-3</v>
      </c>
      <c r="H25" s="81" t="s">
        <v>85</v>
      </c>
      <c r="I25" s="72">
        <v>23</v>
      </c>
      <c r="J25" t="s">
        <v>83</v>
      </c>
      <c r="K25" s="73" t="s">
        <v>19</v>
      </c>
      <c r="L25" s="20">
        <f>312-285</f>
        <v>27</v>
      </c>
      <c r="M25" s="69"/>
      <c r="N25" s="20"/>
      <c r="O25" s="20"/>
      <c r="P25" s="137"/>
      <c r="Q25">
        <v>512</v>
      </c>
      <c r="R25" s="82" t="s">
        <v>84</v>
      </c>
    </row>
    <row r="26" spans="1:18" x14ac:dyDescent="0.3">
      <c r="A26" s="25" t="s">
        <v>44</v>
      </c>
      <c r="B26" s="113">
        <v>36</v>
      </c>
      <c r="C26" s="27">
        <v>1989155.12</v>
      </c>
      <c r="D26" s="37">
        <f t="shared" si="2"/>
        <v>18.098136056880268</v>
      </c>
      <c r="E26" s="118">
        <f t="shared" ref="E26:F26" si="9">(B26/B9)-1</f>
        <v>0.89473684210526305</v>
      </c>
      <c r="F26" s="117">
        <f t="shared" si="9"/>
        <v>7.883001445059068E-2</v>
      </c>
      <c r="H26" s="81"/>
      <c r="K26" s="20" t="s">
        <v>21</v>
      </c>
      <c r="L26" s="20">
        <f>375-312</f>
        <v>63</v>
      </c>
      <c r="M26" s="69"/>
      <c r="N26" s="20"/>
      <c r="O26" s="20"/>
      <c r="P26" s="137">
        <f>Q25/I25</f>
        <v>22.260869565217391</v>
      </c>
      <c r="R26" s="82"/>
    </row>
    <row r="27" spans="1:18" x14ac:dyDescent="0.3">
      <c r="A27" s="114" t="s">
        <v>45</v>
      </c>
      <c r="B27" s="113">
        <v>18</v>
      </c>
      <c r="C27" s="27">
        <v>1610414.4419999998</v>
      </c>
      <c r="D27" s="37">
        <f t="shared" si="2"/>
        <v>11.17724700583628</v>
      </c>
      <c r="E27" s="118">
        <f t="shared" ref="E27:F27" si="10">(B27/B10)-1</f>
        <v>-0.1428571428571429</v>
      </c>
      <c r="F27" s="118">
        <f t="shared" si="10"/>
        <v>-0.29702102197194058</v>
      </c>
      <c r="H27" s="81" t="s">
        <v>86</v>
      </c>
      <c r="I27">
        <v>3.59</v>
      </c>
      <c r="J27" t="s">
        <v>83</v>
      </c>
      <c r="K27" s="20" t="s">
        <v>23</v>
      </c>
      <c r="L27" s="20">
        <f>484-375</f>
        <v>109</v>
      </c>
      <c r="M27" s="69"/>
      <c r="N27" s="20"/>
      <c r="O27" s="20"/>
      <c r="P27" s="137"/>
      <c r="Q27">
        <v>375</v>
      </c>
      <c r="R27" s="82" t="s">
        <v>84</v>
      </c>
    </row>
    <row r="28" spans="1:18" ht="15" thickBot="1" x14ac:dyDescent="0.35">
      <c r="A28" s="25" t="s">
        <v>46</v>
      </c>
      <c r="B28" s="113">
        <v>37</v>
      </c>
      <c r="C28" s="27">
        <v>1999515.9449999901</v>
      </c>
      <c r="D28" s="37">
        <f t="shared" si="2"/>
        <v>18.504478592692685</v>
      </c>
      <c r="E28" s="118">
        <f t="shared" ref="E28:F31" si="11">(B28/B11)-1</f>
        <v>0.60869565217391308</v>
      </c>
      <c r="F28" s="117">
        <f t="shared" si="11"/>
        <v>5.3055443099160771E-2</v>
      </c>
      <c r="H28" s="83"/>
      <c r="I28" s="84"/>
      <c r="J28" s="84"/>
      <c r="K28" s="85" t="s">
        <v>25</v>
      </c>
      <c r="L28" s="85">
        <f>497-484</f>
        <v>13</v>
      </c>
      <c r="M28" s="86"/>
      <c r="N28" s="85"/>
      <c r="O28" s="85" t="s">
        <v>87</v>
      </c>
      <c r="P28" s="152">
        <f>Q27/I27</f>
        <v>104.45682451253482</v>
      </c>
      <c r="Q28" s="84"/>
      <c r="R28" s="87"/>
    </row>
    <row r="29" spans="1:18" x14ac:dyDescent="0.3">
      <c r="A29" s="25" t="s">
        <v>47</v>
      </c>
      <c r="B29" s="113">
        <v>55</v>
      </c>
      <c r="C29" s="27">
        <v>2282876.852</v>
      </c>
      <c r="D29" s="37">
        <f t="shared" si="2"/>
        <v>24.092407766899555</v>
      </c>
      <c r="E29" s="117">
        <f t="shared" si="11"/>
        <v>-0.12698412698412698</v>
      </c>
      <c r="F29" s="117">
        <f t="shared" si="11"/>
        <v>0.25784613907483678</v>
      </c>
    </row>
    <row r="30" spans="1:18" x14ac:dyDescent="0.3">
      <c r="A30" s="25" t="s">
        <v>48</v>
      </c>
      <c r="B30" s="113">
        <v>67</v>
      </c>
      <c r="C30" s="27">
        <v>2234280.7799999998</v>
      </c>
      <c r="D30" s="37">
        <f t="shared" si="2"/>
        <v>29.987278501317103</v>
      </c>
      <c r="E30" s="117">
        <f t="shared" si="11"/>
        <v>8.0645161290322509E-2</v>
      </c>
      <c r="F30" s="117">
        <f t="shared" si="11"/>
        <v>7.5951711198307459E-2</v>
      </c>
    </row>
    <row r="31" spans="1:18" ht="15" thickBot="1" x14ac:dyDescent="0.35">
      <c r="A31" s="115" t="s">
        <v>49</v>
      </c>
      <c r="B31" s="150">
        <v>47</v>
      </c>
      <c r="C31" s="40">
        <v>1976414.5699999998</v>
      </c>
      <c r="D31" s="37">
        <f t="shared" si="2"/>
        <v>23.780435903181996</v>
      </c>
      <c r="E31" s="117">
        <f t="shared" si="11"/>
        <v>-0.1454545454545455</v>
      </c>
      <c r="F31" s="117">
        <f t="shared" si="11"/>
        <v>4.7668051307154569E-2</v>
      </c>
    </row>
    <row r="32" spans="1:18" ht="15.6" thickTop="1" thickBot="1" x14ac:dyDescent="0.35">
      <c r="A32" s="20"/>
      <c r="B32" s="19">
        <f>SUM(B20:B31)</f>
        <v>512</v>
      </c>
      <c r="C32" s="28">
        <f>SUM(C20:C31)</f>
        <v>22918374.180902965</v>
      </c>
      <c r="D32" s="54">
        <f>(B32/C32)*10^6</f>
        <v>22.340153623402777</v>
      </c>
      <c r="F32" t="s">
        <v>93</v>
      </c>
    </row>
    <row r="33" spans="1:18" s="119" customFormat="1" ht="15" thickTop="1" x14ac:dyDescent="0.3">
      <c r="K33" s="120"/>
      <c r="L33" s="121">
        <f>SUM(L21:L32)</f>
        <v>257</v>
      </c>
      <c r="M33" s="122">
        <f>SUM(M21:M32)</f>
        <v>3916994.0759999999</v>
      </c>
      <c r="N33" s="123">
        <f>(L33/M33)*10^6</f>
        <v>65.611536554184966</v>
      </c>
      <c r="O33" s="120"/>
    </row>
    <row r="35" spans="1:18" ht="18.600000000000001" thickBot="1" x14ac:dyDescent="0.35">
      <c r="A35" s="203" t="s">
        <v>94</v>
      </c>
      <c r="B35" s="204"/>
      <c r="C35" s="204"/>
      <c r="D35" s="204"/>
      <c r="F35" t="s">
        <v>93</v>
      </c>
      <c r="H35" s="60">
        <v>2025</v>
      </c>
    </row>
    <row r="36" spans="1:18" ht="15.6" x14ac:dyDescent="0.3">
      <c r="A36" s="154" t="s">
        <v>0</v>
      </c>
      <c r="B36" s="155" t="s">
        <v>72</v>
      </c>
      <c r="C36" s="155" t="s">
        <v>73</v>
      </c>
      <c r="D36" s="156" t="s">
        <v>74</v>
      </c>
      <c r="H36" s="60" t="s">
        <v>79</v>
      </c>
      <c r="I36" s="153">
        <f>D49</f>
        <v>25.192011440295648</v>
      </c>
    </row>
    <row r="37" spans="1:18" x14ac:dyDescent="0.3">
      <c r="A37" s="36" t="s">
        <v>95</v>
      </c>
      <c r="B37" s="160">
        <v>64</v>
      </c>
      <c r="C37" s="27">
        <v>2115759.1169999903</v>
      </c>
      <c r="D37" s="37">
        <f>(B37/C37)*10^6</f>
        <v>30.249190224805869</v>
      </c>
      <c r="H37" s="60" t="s">
        <v>81</v>
      </c>
      <c r="I37" s="60">
        <v>78.900000000000006</v>
      </c>
    </row>
    <row r="38" spans="1:18" x14ac:dyDescent="0.3">
      <c r="A38" s="36" t="s">
        <v>96</v>
      </c>
      <c r="B38" s="160">
        <v>52</v>
      </c>
      <c r="C38" s="27">
        <v>1729564.5449999999</v>
      </c>
      <c r="D38" s="37">
        <f t="shared" ref="D38:D41" si="12">(B38/C38)*10^6</f>
        <v>30.065371165434016</v>
      </c>
    </row>
    <row r="39" spans="1:18" ht="15" thickBot="1" x14ac:dyDescent="0.35">
      <c r="A39" s="36" t="s">
        <v>97</v>
      </c>
      <c r="B39" s="160">
        <v>46</v>
      </c>
      <c r="C39" s="27">
        <v>1599518.6900000002</v>
      </c>
      <c r="D39" s="37">
        <f t="shared" si="12"/>
        <v>28.758651141488063</v>
      </c>
    </row>
    <row r="40" spans="1:18" x14ac:dyDescent="0.3">
      <c r="A40" s="36" t="s">
        <v>98</v>
      </c>
      <c r="B40" s="160">
        <v>62</v>
      </c>
      <c r="C40" s="27">
        <v>2175397.7119999998</v>
      </c>
      <c r="D40" s="37">
        <f t="shared" si="12"/>
        <v>28.500535629872907</v>
      </c>
      <c r="H40" s="74" t="s">
        <v>82</v>
      </c>
      <c r="I40" s="75"/>
      <c r="J40" s="76" t="s">
        <v>83</v>
      </c>
      <c r="K40" s="77" t="s">
        <v>15</v>
      </c>
      <c r="L40" s="77">
        <f>263-240</f>
        <v>23</v>
      </c>
      <c r="M40" s="78">
        <v>2371863.9339999999</v>
      </c>
      <c r="N40" s="79">
        <f t="shared" ref="N40:N41" si="13">(L40/M40)*10^6</f>
        <v>9.6970149384631608</v>
      </c>
      <c r="O40" s="77"/>
      <c r="P40" s="76"/>
      <c r="Q40" s="76"/>
      <c r="R40" s="80" t="s">
        <v>84</v>
      </c>
    </row>
    <row r="41" spans="1:18" x14ac:dyDescent="0.3">
      <c r="A41" s="36" t="s">
        <v>99</v>
      </c>
      <c r="B41" s="160">
        <v>39</v>
      </c>
      <c r="C41" s="27">
        <v>1975331.7689999903</v>
      </c>
      <c r="D41" s="37">
        <f t="shared" si="12"/>
        <v>19.743518841770925</v>
      </c>
      <c r="H41" s="81"/>
      <c r="K41" s="20" t="s">
        <v>17</v>
      </c>
      <c r="L41" s="20">
        <f>285-263</f>
        <v>22</v>
      </c>
      <c r="M41" s="69">
        <v>1545130.142</v>
      </c>
      <c r="N41" s="70">
        <f t="shared" si="13"/>
        <v>14.238282848798377</v>
      </c>
      <c r="O41" s="20"/>
      <c r="P41" s="137" t="e">
        <f>Q40/I40</f>
        <v>#DIV/0!</v>
      </c>
      <c r="R41" s="82"/>
    </row>
    <row r="42" spans="1:18" x14ac:dyDescent="0.3">
      <c r="A42" s="25" t="s">
        <v>100</v>
      </c>
      <c r="B42" s="160">
        <v>47</v>
      </c>
      <c r="C42" s="27">
        <v>1777674.5109999902</v>
      </c>
      <c r="D42" s="37">
        <f t="shared" ref="D42:D48" si="14">(B42/C42)*10^6</f>
        <v>26.439035779143406</v>
      </c>
      <c r="H42" s="81" t="s">
        <v>85</v>
      </c>
      <c r="I42" s="72"/>
      <c r="J42" t="s">
        <v>83</v>
      </c>
      <c r="K42" s="73" t="s">
        <v>19</v>
      </c>
      <c r="L42" s="20">
        <f>312-285</f>
        <v>27</v>
      </c>
      <c r="M42" s="69"/>
      <c r="N42" s="20"/>
      <c r="O42" s="20"/>
      <c r="P42" s="137"/>
      <c r="R42" s="82" t="s">
        <v>84</v>
      </c>
    </row>
    <row r="43" spans="1:18" x14ac:dyDescent="0.3">
      <c r="A43" s="25" t="s">
        <v>101</v>
      </c>
      <c r="B43" s="160">
        <v>32</v>
      </c>
      <c r="C43" s="27">
        <v>2288886.00999999</v>
      </c>
      <c r="D43" s="37">
        <f t="shared" si="14"/>
        <v>13.980600108609227</v>
      </c>
      <c r="H43" s="81"/>
      <c r="K43" s="20" t="s">
        <v>21</v>
      </c>
      <c r="L43" s="20">
        <f>375-312</f>
        <v>63</v>
      </c>
      <c r="M43" s="69"/>
      <c r="N43" s="20"/>
      <c r="O43" s="20"/>
      <c r="P43" s="137" t="e">
        <f>Q42/I42</f>
        <v>#DIV/0!</v>
      </c>
      <c r="R43" s="82"/>
    </row>
    <row r="44" spans="1:18" x14ac:dyDescent="0.3">
      <c r="A44" s="25" t="s">
        <v>102</v>
      </c>
      <c r="B44" s="160">
        <v>30</v>
      </c>
      <c r="C44" s="27">
        <v>1990387.9700000002</v>
      </c>
      <c r="D44" s="37">
        <f t="shared" si="14"/>
        <v>15.07243836486813</v>
      </c>
      <c r="H44" s="81" t="s">
        <v>86</v>
      </c>
      <c r="J44" t="s">
        <v>83</v>
      </c>
      <c r="K44" s="20" t="s">
        <v>23</v>
      </c>
      <c r="L44" s="20">
        <f>484-375</f>
        <v>109</v>
      </c>
      <c r="M44" s="69"/>
      <c r="N44" s="20"/>
      <c r="O44" s="20"/>
      <c r="P44" s="137"/>
      <c r="R44" s="82" t="s">
        <v>84</v>
      </c>
    </row>
    <row r="45" spans="1:18" ht="15" thickBot="1" x14ac:dyDescent="0.35">
      <c r="A45" s="25" t="s">
        <v>103</v>
      </c>
      <c r="B45" s="160">
        <v>50</v>
      </c>
      <c r="C45" s="27">
        <v>2458760.36249999</v>
      </c>
      <c r="D45" s="37">
        <f t="shared" si="14"/>
        <v>20.335450645203007</v>
      </c>
      <c r="H45" s="83"/>
      <c r="I45" s="84"/>
      <c r="J45" s="84"/>
      <c r="K45" s="85" t="s">
        <v>25</v>
      </c>
      <c r="L45" s="85">
        <f>497-484</f>
        <v>13</v>
      </c>
      <c r="M45" s="86"/>
      <c r="N45" s="85"/>
      <c r="O45" s="85" t="s">
        <v>87</v>
      </c>
      <c r="P45" s="152" t="e">
        <f>Q44/I44</f>
        <v>#DIV/0!</v>
      </c>
      <c r="Q45" s="84"/>
      <c r="R45" s="87"/>
    </row>
    <row r="46" spans="1:18" x14ac:dyDescent="0.3">
      <c r="A46" s="25" t="s">
        <v>104</v>
      </c>
      <c r="B46" s="113">
        <v>75</v>
      </c>
      <c r="C46" s="27">
        <v>2173718.9239999899</v>
      </c>
      <c r="D46" s="37">
        <f t="shared" si="14"/>
        <v>34.503080951233578</v>
      </c>
    </row>
    <row r="47" spans="1:18" x14ac:dyDescent="0.3">
      <c r="A47" s="25" t="s">
        <v>105</v>
      </c>
      <c r="B47" s="113">
        <v>82</v>
      </c>
      <c r="C47" s="27">
        <v>2411731.9109999901</v>
      </c>
      <c r="D47" s="37">
        <f t="shared" si="14"/>
        <v>34.000462334140565</v>
      </c>
    </row>
    <row r="48" spans="1:18" ht="15" thickBot="1" x14ac:dyDescent="0.35">
      <c r="A48" s="25" t="s">
        <v>106</v>
      </c>
      <c r="B48" s="150">
        <v>56</v>
      </c>
      <c r="C48" s="40">
        <v>2509671.7664999901</v>
      </c>
      <c r="D48" s="37">
        <f t="shared" si="14"/>
        <v>22.313674938495275</v>
      </c>
    </row>
    <row r="49" spans="1:18" ht="15.6" thickTop="1" thickBot="1" x14ac:dyDescent="0.35">
      <c r="A49" s="20"/>
      <c r="B49" s="19">
        <f>SUM(B37:B48)</f>
        <v>635</v>
      </c>
      <c r="C49" s="28">
        <f>SUM(C37:C48)</f>
        <v>25206403.287999924</v>
      </c>
      <c r="D49" s="54">
        <f>(B49/C49)*10^6</f>
        <v>25.192011440295648</v>
      </c>
    </row>
    <row r="50" spans="1:18" s="119" customFormat="1" ht="15" thickTop="1" x14ac:dyDescent="0.3">
      <c r="K50" s="120"/>
      <c r="L50" s="121">
        <f>SUM(L38:L49)</f>
        <v>257</v>
      </c>
      <c r="M50" s="122">
        <f>SUM(M38:M49)</f>
        <v>3916994.0759999999</v>
      </c>
      <c r="N50" s="123">
        <f>(L50/M50)*10^6</f>
        <v>65.611536554184966</v>
      </c>
      <c r="O50" s="120"/>
    </row>
    <row r="52" spans="1:18" ht="18.600000000000001" thickBot="1" x14ac:dyDescent="0.35">
      <c r="A52" s="198" t="s">
        <v>107</v>
      </c>
      <c r="B52" s="199"/>
      <c r="C52" s="199"/>
      <c r="D52" s="199"/>
      <c r="H52" s="60">
        <v>2026</v>
      </c>
    </row>
    <row r="53" spans="1:18" ht="15.6" x14ac:dyDescent="0.3">
      <c r="A53" s="181" t="s">
        <v>0</v>
      </c>
      <c r="B53" s="182" t="s">
        <v>72</v>
      </c>
      <c r="C53" s="187" t="s">
        <v>73</v>
      </c>
      <c r="D53" s="191" t="s">
        <v>74</v>
      </c>
      <c r="E53" s="190" t="s">
        <v>155</v>
      </c>
      <c r="F53" s="183" t="s">
        <v>156</v>
      </c>
      <c r="H53" s="60" t="s">
        <v>79</v>
      </c>
      <c r="I53" s="153">
        <f>D66</f>
        <v>25.890384942159404</v>
      </c>
    </row>
    <row r="54" spans="1:18" x14ac:dyDescent="0.3">
      <c r="A54" s="184" t="s">
        <v>95</v>
      </c>
      <c r="B54" s="179">
        <v>67</v>
      </c>
      <c r="C54" s="188">
        <v>1991459.15</v>
      </c>
      <c r="D54" s="192">
        <f>(B54/C54)*10^6</f>
        <v>33.643672781337244</v>
      </c>
      <c r="E54" s="194">
        <v>48</v>
      </c>
      <c r="F54" s="195">
        <v>25.192011440295648</v>
      </c>
      <c r="H54" s="60" t="s">
        <v>81</v>
      </c>
      <c r="I54" s="60">
        <v>106.3</v>
      </c>
    </row>
    <row r="55" spans="1:18" x14ac:dyDescent="0.3">
      <c r="A55" s="184" t="s">
        <v>96</v>
      </c>
      <c r="B55" s="179">
        <v>40</v>
      </c>
      <c r="C55" s="188">
        <v>1815085.92</v>
      </c>
      <c r="D55" s="192">
        <f t="shared" ref="D55:D65" si="15">(B55/C55)*10^6</f>
        <v>22.037524262212337</v>
      </c>
      <c r="E55" s="194">
        <v>31</v>
      </c>
      <c r="F55" s="195">
        <v>25.192011440295648</v>
      </c>
    </row>
    <row r="56" spans="1:18" ht="15" thickBot="1" x14ac:dyDescent="0.35">
      <c r="A56" s="184" t="s">
        <v>97</v>
      </c>
      <c r="B56" s="179">
        <v>62</v>
      </c>
      <c r="C56" s="188">
        <v>1916342.1500000001</v>
      </c>
      <c r="D56" s="192">
        <f t="shared" si="15"/>
        <v>32.353303923310357</v>
      </c>
      <c r="E56" s="194">
        <v>58</v>
      </c>
      <c r="F56" s="195">
        <v>25.192011440295648</v>
      </c>
    </row>
    <row r="57" spans="1:18" x14ac:dyDescent="0.3">
      <c r="A57" s="184" t="s">
        <v>98</v>
      </c>
      <c r="B57" s="179">
        <v>30</v>
      </c>
      <c r="C57" s="188">
        <v>1963363.8900000001</v>
      </c>
      <c r="D57" s="192">
        <f t="shared" si="15"/>
        <v>15.27989801218153</v>
      </c>
      <c r="E57" s="194">
        <v>25</v>
      </c>
      <c r="F57" s="195">
        <v>25.192011440295648</v>
      </c>
      <c r="H57" s="74" t="s">
        <v>82</v>
      </c>
      <c r="I57" s="75">
        <v>9.0688790000000008</v>
      </c>
      <c r="J57" s="76" t="s">
        <v>83</v>
      </c>
      <c r="K57" s="77" t="s">
        <v>15</v>
      </c>
      <c r="L57" s="77">
        <f>263-240</f>
        <v>23</v>
      </c>
      <c r="M57" s="78">
        <v>2371863.9339999999</v>
      </c>
      <c r="N57" s="79">
        <f t="shared" ref="N57:N58" si="16">(L57/M57)*10^6</f>
        <v>9.6970149384631608</v>
      </c>
      <c r="O57" s="77"/>
      <c r="P57" s="76"/>
      <c r="Q57" s="76">
        <v>346</v>
      </c>
      <c r="R57" s="80" t="s">
        <v>84</v>
      </c>
    </row>
    <row r="58" spans="1:18" x14ac:dyDescent="0.3">
      <c r="A58" s="184" t="s">
        <v>99</v>
      </c>
      <c r="B58" s="179"/>
      <c r="C58" s="188"/>
      <c r="D58" s="192" t="e">
        <f t="shared" si="15"/>
        <v>#DIV/0!</v>
      </c>
      <c r="E58" s="194"/>
      <c r="F58" s="195">
        <v>25.192011440295648</v>
      </c>
      <c r="H58" s="81"/>
      <c r="K58" s="20" t="s">
        <v>17</v>
      </c>
      <c r="L58" s="20">
        <f>285-263</f>
        <v>22</v>
      </c>
      <c r="M58" s="69">
        <v>1545130.142</v>
      </c>
      <c r="N58" s="70">
        <f t="shared" si="16"/>
        <v>14.238282848798377</v>
      </c>
      <c r="O58" s="20"/>
      <c r="P58" s="176">
        <f>Q57/I57</f>
        <v>38.152455226274377</v>
      </c>
      <c r="R58" s="82"/>
    </row>
    <row r="59" spans="1:18" x14ac:dyDescent="0.3">
      <c r="A59" s="184" t="s">
        <v>100</v>
      </c>
      <c r="B59" s="179"/>
      <c r="C59" s="188"/>
      <c r="D59" s="192" t="e">
        <f t="shared" si="15"/>
        <v>#DIV/0!</v>
      </c>
      <c r="E59" s="194"/>
      <c r="F59" s="195">
        <v>25.192011440295648</v>
      </c>
      <c r="H59" s="81" t="s">
        <v>85</v>
      </c>
      <c r="I59" s="72">
        <v>7.6862510000000004</v>
      </c>
      <c r="J59" t="s">
        <v>83</v>
      </c>
      <c r="K59" s="73" t="s">
        <v>19</v>
      </c>
      <c r="L59" s="20">
        <f>312-285</f>
        <v>27</v>
      </c>
      <c r="M59" s="69"/>
      <c r="N59" s="20"/>
      <c r="O59" s="20"/>
      <c r="P59" s="137"/>
      <c r="Q59">
        <v>199</v>
      </c>
      <c r="R59" s="82" t="s">
        <v>84</v>
      </c>
    </row>
    <row r="60" spans="1:18" x14ac:dyDescent="0.3">
      <c r="A60" s="184" t="s">
        <v>101</v>
      </c>
      <c r="B60" s="179"/>
      <c r="C60" s="188"/>
      <c r="D60" s="192" t="e">
        <f t="shared" si="15"/>
        <v>#DIV/0!</v>
      </c>
      <c r="E60" s="194"/>
      <c r="F60" s="195">
        <v>25.192011440295648</v>
      </c>
      <c r="H60" s="81"/>
      <c r="K60" s="20" t="s">
        <v>21</v>
      </c>
      <c r="L60" s="20">
        <f>375-312</f>
        <v>63</v>
      </c>
      <c r="M60" s="69"/>
      <c r="N60" s="20"/>
      <c r="O60" s="20"/>
      <c r="P60" s="176">
        <f>Q59/I59</f>
        <v>25.890385312683648</v>
      </c>
      <c r="R60" s="82"/>
    </row>
    <row r="61" spans="1:18" x14ac:dyDescent="0.3">
      <c r="A61" s="184" t="s">
        <v>102</v>
      </c>
      <c r="B61" s="179"/>
      <c r="C61" s="188"/>
      <c r="D61" s="192" t="e">
        <f t="shared" si="15"/>
        <v>#DIV/0!</v>
      </c>
      <c r="E61" s="194"/>
      <c r="F61" s="195">
        <v>25.192011440295648</v>
      </c>
      <c r="H61" s="81" t="s">
        <v>86</v>
      </c>
      <c r="I61" s="71">
        <v>1.382628</v>
      </c>
      <c r="J61" t="s">
        <v>83</v>
      </c>
      <c r="K61" s="20" t="s">
        <v>23</v>
      </c>
      <c r="L61" s="20">
        <f>484-375</f>
        <v>109</v>
      </c>
      <c r="M61" s="69"/>
      <c r="N61" s="20"/>
      <c r="O61" s="20"/>
      <c r="P61" s="137"/>
      <c r="Q61">
        <v>147</v>
      </c>
      <c r="R61" s="82" t="s">
        <v>84</v>
      </c>
    </row>
    <row r="62" spans="1:18" ht="15" thickBot="1" x14ac:dyDescent="0.35">
      <c r="A62" s="184" t="s">
        <v>103</v>
      </c>
      <c r="B62" s="179"/>
      <c r="C62" s="188"/>
      <c r="D62" s="192" t="e">
        <f t="shared" si="15"/>
        <v>#DIV/0!</v>
      </c>
      <c r="E62" s="194"/>
      <c r="F62" s="195">
        <v>25.192011440295648</v>
      </c>
      <c r="H62" s="83"/>
      <c r="I62" s="84"/>
      <c r="J62" s="84"/>
      <c r="K62" s="85" t="s">
        <v>25</v>
      </c>
      <c r="L62" s="85">
        <f>497-484</f>
        <v>13</v>
      </c>
      <c r="M62" s="86"/>
      <c r="N62" s="85"/>
      <c r="O62" s="85" t="s">
        <v>87</v>
      </c>
      <c r="P62" s="177">
        <f>Q61/I61</f>
        <v>106.31927025924544</v>
      </c>
      <c r="Q62" s="84"/>
      <c r="R62" s="87"/>
    </row>
    <row r="63" spans="1:18" x14ac:dyDescent="0.3">
      <c r="A63" s="184" t="s">
        <v>104</v>
      </c>
      <c r="B63" s="180"/>
      <c r="C63" s="188"/>
      <c r="D63" s="192" t="e">
        <f t="shared" si="15"/>
        <v>#DIV/0!</v>
      </c>
      <c r="E63" s="194"/>
      <c r="F63" s="195">
        <v>25.192011440295648</v>
      </c>
    </row>
    <row r="64" spans="1:18" x14ac:dyDescent="0.3">
      <c r="A64" s="184" t="s">
        <v>105</v>
      </c>
      <c r="B64" s="180"/>
      <c r="C64" s="188"/>
      <c r="D64" s="192" t="e">
        <f t="shared" si="15"/>
        <v>#DIV/0!</v>
      </c>
      <c r="E64" s="194"/>
      <c r="F64" s="195">
        <v>25.192011440295648</v>
      </c>
    </row>
    <row r="65" spans="1:6" ht="15" thickBot="1" x14ac:dyDescent="0.35">
      <c r="A65" s="185" t="s">
        <v>106</v>
      </c>
      <c r="B65" s="186"/>
      <c r="C65" s="189"/>
      <c r="D65" s="193" t="e">
        <f t="shared" si="15"/>
        <v>#DIV/0!</v>
      </c>
      <c r="E65" s="196"/>
      <c r="F65" s="197">
        <v>25.192011440295648</v>
      </c>
    </row>
    <row r="66" spans="1:6" ht="15" thickBot="1" x14ac:dyDescent="0.35">
      <c r="A66" s="20"/>
      <c r="B66" s="19">
        <f>SUM(B54:B65)</f>
        <v>199</v>
      </c>
      <c r="C66" s="28">
        <f>SUM(C54:C65)</f>
        <v>7686251.1099999994</v>
      </c>
      <c r="D66" s="178">
        <f>(B66/C66)*10^6</f>
        <v>25.890384942159404</v>
      </c>
    </row>
    <row r="67" spans="1:6" ht="15" thickTop="1" x14ac:dyDescent="0.3"/>
  </sheetData>
  <mergeCells count="6">
    <mergeCell ref="A52:D52"/>
    <mergeCell ref="K2:N2"/>
    <mergeCell ref="A1:D1"/>
    <mergeCell ref="A18:D18"/>
    <mergeCell ref="E18:F18"/>
    <mergeCell ref="A35:D3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4984-7B00-4536-A14F-6ABE01003FA5}">
  <dimension ref="A1:C14"/>
  <sheetViews>
    <sheetView workbookViewId="0">
      <selection activeCell="I18" sqref="I18"/>
    </sheetView>
  </sheetViews>
  <sheetFormatPr defaultRowHeight="14.4" x14ac:dyDescent="0.3"/>
  <cols>
    <col min="1" max="1" width="18.44140625" bestFit="1" customWidth="1"/>
    <col min="2" max="2" width="21" bestFit="1" customWidth="1"/>
  </cols>
  <sheetData>
    <row r="1" spans="1:3" ht="21" x14ac:dyDescent="0.3">
      <c r="A1" s="226">
        <v>2023</v>
      </c>
      <c r="B1" s="226"/>
      <c r="C1" s="226"/>
    </row>
    <row r="2" spans="1:3" ht="15.6" x14ac:dyDescent="0.3">
      <c r="A2" s="5" t="s">
        <v>0</v>
      </c>
      <c r="B2" s="6" t="s">
        <v>108</v>
      </c>
      <c r="C2" s="6"/>
    </row>
    <row r="3" spans="1:3" x14ac:dyDescent="0.3">
      <c r="A3" s="1" t="s">
        <v>5</v>
      </c>
      <c r="B3" s="88">
        <v>0.93515512265512268</v>
      </c>
      <c r="C3" s="1"/>
    </row>
    <row r="4" spans="1:3" x14ac:dyDescent="0.3">
      <c r="A4" s="1" t="s">
        <v>7</v>
      </c>
      <c r="B4" s="88">
        <v>0.93517766955266957</v>
      </c>
      <c r="C4" s="1"/>
    </row>
    <row r="5" spans="1:3" x14ac:dyDescent="0.3">
      <c r="A5" s="1" t="s">
        <v>9</v>
      </c>
      <c r="B5" s="88">
        <v>0.88446969696969702</v>
      </c>
      <c r="C5" s="1"/>
    </row>
    <row r="6" spans="1:3" x14ac:dyDescent="0.3">
      <c r="A6" s="1" t="s">
        <v>11</v>
      </c>
      <c r="B6" s="88">
        <v>0.96655844155844151</v>
      </c>
      <c r="C6" s="1"/>
    </row>
    <row r="7" spans="1:3" x14ac:dyDescent="0.3">
      <c r="A7" s="2" t="s">
        <v>13</v>
      </c>
      <c r="B7" s="88">
        <v>0.93354377104377106</v>
      </c>
      <c r="C7" s="1"/>
    </row>
    <row r="8" spans="1:3" x14ac:dyDescent="0.3">
      <c r="A8" s="1" t="s">
        <v>15</v>
      </c>
      <c r="B8" s="88">
        <v>0.90140993265993263</v>
      </c>
      <c r="C8" s="1"/>
    </row>
    <row r="9" spans="1:3" x14ac:dyDescent="0.3">
      <c r="A9" s="1" t="s">
        <v>17</v>
      </c>
      <c r="B9" s="88">
        <v>0.89393939393939392</v>
      </c>
      <c r="C9" s="1"/>
    </row>
    <row r="10" spans="1:3" x14ac:dyDescent="0.3">
      <c r="A10" s="2" t="s">
        <v>19</v>
      </c>
      <c r="B10" s="88">
        <v>0.96487794612794608</v>
      </c>
      <c r="C10" s="1"/>
    </row>
    <row r="11" spans="1:3" x14ac:dyDescent="0.3">
      <c r="A11" s="1" t="s">
        <v>21</v>
      </c>
      <c r="B11" s="88">
        <v>0.9176925505050505</v>
      </c>
      <c r="C11" s="1"/>
    </row>
    <row r="12" spans="1:3" x14ac:dyDescent="0.3">
      <c r="A12" s="1" t="s">
        <v>23</v>
      </c>
      <c r="B12" s="88">
        <v>0.87928109217171724</v>
      </c>
      <c r="C12" s="1"/>
    </row>
    <row r="13" spans="1:3" x14ac:dyDescent="0.3">
      <c r="A13" s="1" t="s">
        <v>25</v>
      </c>
      <c r="B13" s="88">
        <v>0.86268939393939392</v>
      </c>
      <c r="C13" s="1"/>
    </row>
    <row r="14" spans="1:3" x14ac:dyDescent="0.3">
      <c r="A14" s="1" t="s">
        <v>28</v>
      </c>
      <c r="B14" s="88">
        <v>0.96067340067340057</v>
      </c>
      <c r="C14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1D07-E80B-40F0-8C79-6721DD6388E0}">
  <dimension ref="A1:Q75"/>
  <sheetViews>
    <sheetView topLeftCell="A57" zoomScale="80" zoomScaleNormal="80" workbookViewId="0">
      <selection activeCell="F65" sqref="F65"/>
    </sheetView>
  </sheetViews>
  <sheetFormatPr defaultRowHeight="15" customHeight="1" x14ac:dyDescent="0.3"/>
  <cols>
    <col min="1" max="1" width="12.5546875" bestFit="1" customWidth="1"/>
    <col min="2" max="2" width="15.44140625" bestFit="1" customWidth="1"/>
    <col min="3" max="3" width="15.44140625" customWidth="1"/>
    <col min="4" max="4" width="14.5546875" customWidth="1"/>
    <col min="5" max="5" width="27.109375" customWidth="1"/>
    <col min="6" max="6" width="17" customWidth="1"/>
    <col min="7" max="7" width="35" bestFit="1" customWidth="1"/>
    <col min="8" max="8" width="24.5546875" customWidth="1"/>
    <col min="9" max="9" width="17.5546875" bestFit="1" customWidth="1"/>
    <col min="10" max="10" width="12.5546875" bestFit="1" customWidth="1"/>
    <col min="11" max="11" width="11.44140625" customWidth="1"/>
    <col min="12" max="12" width="19.88671875" customWidth="1"/>
    <col min="13" max="13" width="20" customWidth="1"/>
    <col min="14" max="14" width="16.44140625" customWidth="1"/>
    <col min="16" max="16" width="12.5546875" bestFit="1" customWidth="1"/>
    <col min="17" max="17" width="30.5546875" customWidth="1"/>
  </cols>
  <sheetData>
    <row r="1" spans="1:14" ht="27" customHeight="1" x14ac:dyDescent="0.3">
      <c r="A1" s="227">
        <v>2023</v>
      </c>
      <c r="B1" s="228"/>
      <c r="C1" s="228"/>
      <c r="D1" s="228"/>
      <c r="E1" s="229"/>
      <c r="F1" s="229"/>
      <c r="G1" s="229"/>
      <c r="H1" s="228"/>
      <c r="I1" s="228"/>
      <c r="J1" s="228"/>
      <c r="K1" s="228"/>
      <c r="L1" s="228"/>
      <c r="M1" s="228"/>
      <c r="N1" s="228"/>
    </row>
    <row r="2" spans="1:14" ht="43.2" x14ac:dyDescent="0.3">
      <c r="A2" s="133" t="s">
        <v>109</v>
      </c>
      <c r="B2" s="138" t="s">
        <v>110</v>
      </c>
      <c r="C2" s="147" t="s">
        <v>111</v>
      </c>
      <c r="D2" s="133" t="s">
        <v>112</v>
      </c>
      <c r="E2" s="127" t="s">
        <v>113</v>
      </c>
      <c r="F2" s="127" t="s">
        <v>114</v>
      </c>
      <c r="G2" s="127" t="s">
        <v>115</v>
      </c>
      <c r="H2" s="142" t="s">
        <v>116</v>
      </c>
      <c r="I2" s="140" t="s">
        <v>117</v>
      </c>
      <c r="J2" s="140" t="s">
        <v>118</v>
      </c>
      <c r="K2" s="140" t="s">
        <v>119</v>
      </c>
      <c r="L2" s="139" t="s">
        <v>120</v>
      </c>
      <c r="M2" s="139" t="s">
        <v>121</v>
      </c>
      <c r="N2" s="141" t="s">
        <v>122</v>
      </c>
    </row>
    <row r="3" spans="1:14" ht="14.4" x14ac:dyDescent="0.3">
      <c r="A3" s="110" t="s">
        <v>123</v>
      </c>
      <c r="B3" s="111">
        <v>2018215.93</v>
      </c>
      <c r="C3" s="146"/>
      <c r="D3" s="112">
        <v>61667</v>
      </c>
      <c r="E3" s="103">
        <f>D3/B3</f>
        <v>3.0555204268950548E-2</v>
      </c>
      <c r="F3" s="110">
        <v>63178.5</v>
      </c>
      <c r="G3" s="124">
        <v>-1511.5</v>
      </c>
      <c r="H3" s="143">
        <f>G3/D3</f>
        <v>-2.4510678320657727E-2</v>
      </c>
      <c r="I3" s="112">
        <v>36565.49</v>
      </c>
      <c r="J3" s="110">
        <v>26528.03</v>
      </c>
      <c r="K3" s="110">
        <v>8533.7199999999993</v>
      </c>
      <c r="L3" s="105">
        <f>B3/J3</f>
        <v>76.078620613743269</v>
      </c>
      <c r="M3" s="105">
        <f>B3/K3</f>
        <v>236.49896293761691</v>
      </c>
      <c r="N3" s="106">
        <f>B3/I3</f>
        <v>55.194554482929121</v>
      </c>
    </row>
    <row r="4" spans="1:14" ht="14.4" x14ac:dyDescent="0.3">
      <c r="A4" s="110" t="s">
        <v>124</v>
      </c>
      <c r="B4" s="111">
        <v>1866585.54</v>
      </c>
      <c r="C4" s="146"/>
      <c r="D4" s="112">
        <v>77573</v>
      </c>
      <c r="E4" s="103">
        <f t="shared" ref="E4:E14" si="0">D4/B4</f>
        <v>4.1558770459563292E-2</v>
      </c>
      <c r="F4" s="110">
        <v>84166.5</v>
      </c>
      <c r="G4" s="124">
        <v>-6593.5</v>
      </c>
      <c r="H4" s="143">
        <f t="shared" ref="H4:H14" si="1">G4/D4</f>
        <v>-8.4997357327936271E-2</v>
      </c>
      <c r="I4" s="112">
        <v>34790.36</v>
      </c>
      <c r="J4" s="110">
        <v>25469.32</v>
      </c>
      <c r="K4" s="110">
        <v>7903.9</v>
      </c>
      <c r="L4" s="105">
        <f t="shared" ref="L4:L14" si="2">B4/J4</f>
        <v>73.287607992675106</v>
      </c>
      <c r="M4" s="105">
        <f t="shared" ref="M4:M14" si="3">B4/K4</f>
        <v>236.16006528422679</v>
      </c>
      <c r="N4" s="106">
        <f t="shared" ref="N4:N14" si="4">B4/I4</f>
        <v>53.65237784259778</v>
      </c>
    </row>
    <row r="5" spans="1:14" ht="14.4" x14ac:dyDescent="0.3">
      <c r="A5" s="110" t="s">
        <v>125</v>
      </c>
      <c r="B5" s="111">
        <v>2259221.69</v>
      </c>
      <c r="C5" s="146"/>
      <c r="D5" s="112">
        <v>74561</v>
      </c>
      <c r="E5" s="103">
        <f t="shared" si="0"/>
        <v>3.3002958642805877E-2</v>
      </c>
      <c r="F5" s="110">
        <v>81353</v>
      </c>
      <c r="G5" s="124">
        <v>-6792</v>
      </c>
      <c r="H5" s="143">
        <f t="shared" si="1"/>
        <v>-9.1093198857311458E-2</v>
      </c>
      <c r="I5" s="112">
        <v>39304.26</v>
      </c>
      <c r="J5" s="110">
        <v>27570.38</v>
      </c>
      <c r="K5" s="110">
        <v>9769.2999999999993</v>
      </c>
      <c r="L5" s="105">
        <f t="shared" si="2"/>
        <v>81.943799468850258</v>
      </c>
      <c r="M5" s="105">
        <f t="shared" si="3"/>
        <v>231.25727431852846</v>
      </c>
      <c r="N5" s="106">
        <f t="shared" si="4"/>
        <v>57.480326305596385</v>
      </c>
    </row>
    <row r="6" spans="1:14" ht="14.4" x14ac:dyDescent="0.3">
      <c r="A6" s="110" t="s">
        <v>126</v>
      </c>
      <c r="B6" s="111">
        <v>1773321.97</v>
      </c>
      <c r="C6" s="146"/>
      <c r="D6" s="112">
        <v>64487</v>
      </c>
      <c r="E6" s="103">
        <f t="shared" si="0"/>
        <v>3.6365082647681853E-2</v>
      </c>
      <c r="F6" s="110">
        <v>68160.820000000007</v>
      </c>
      <c r="G6" s="124">
        <v>-3673.82</v>
      </c>
      <c r="H6" s="143">
        <f t="shared" si="1"/>
        <v>-5.6969931924263806E-2</v>
      </c>
      <c r="I6" s="112">
        <v>30805.73</v>
      </c>
      <c r="J6" s="110">
        <v>22321.25</v>
      </c>
      <c r="K6" s="110">
        <v>7118.84</v>
      </c>
      <c r="L6" s="105">
        <f t="shared" si="2"/>
        <v>79.445459819678561</v>
      </c>
      <c r="M6" s="105">
        <f t="shared" si="3"/>
        <v>249.10265857920672</v>
      </c>
      <c r="N6" s="106">
        <f t="shared" si="4"/>
        <v>57.564679363222361</v>
      </c>
    </row>
    <row r="7" spans="1:14" ht="14.4" x14ac:dyDescent="0.3">
      <c r="A7" s="110" t="s">
        <v>127</v>
      </c>
      <c r="B7" s="111">
        <v>2433070.9</v>
      </c>
      <c r="C7" s="146"/>
      <c r="D7" s="112">
        <v>87382.5</v>
      </c>
      <c r="E7" s="103">
        <f t="shared" si="0"/>
        <v>3.5914489791481215E-2</v>
      </c>
      <c r="F7" s="110">
        <v>103690.46</v>
      </c>
      <c r="G7" s="124">
        <v>-16307.96</v>
      </c>
      <c r="H7" s="143">
        <f t="shared" si="1"/>
        <v>-0.18662729951649357</v>
      </c>
      <c r="I7" s="112">
        <v>39635.47</v>
      </c>
      <c r="J7" s="110">
        <v>28726.27</v>
      </c>
      <c r="K7" s="110">
        <v>9394.65</v>
      </c>
      <c r="L7" s="105">
        <f t="shared" si="2"/>
        <v>84.698462417849584</v>
      </c>
      <c r="M7" s="105">
        <f t="shared" si="3"/>
        <v>258.98473067117988</v>
      </c>
      <c r="N7" s="106">
        <f t="shared" si="4"/>
        <v>61.386200289790935</v>
      </c>
    </row>
    <row r="8" spans="1:14" ht="14.4" x14ac:dyDescent="0.3">
      <c r="A8" s="110" t="s">
        <v>128</v>
      </c>
      <c r="B8" s="111">
        <v>2198346.63</v>
      </c>
      <c r="C8" s="146"/>
      <c r="D8" s="112">
        <v>74013.5</v>
      </c>
      <c r="E8" s="103">
        <f t="shared" si="0"/>
        <v>3.3667802424770472E-2</v>
      </c>
      <c r="F8" s="110">
        <v>84336</v>
      </c>
      <c r="G8" s="124">
        <v>-10322.5</v>
      </c>
      <c r="H8" s="143">
        <f t="shared" si="1"/>
        <v>-0.13946779979328094</v>
      </c>
      <c r="I8" s="112">
        <v>38881.67</v>
      </c>
      <c r="J8" s="110">
        <v>26068.03</v>
      </c>
      <c r="K8" s="110">
        <v>10088.1</v>
      </c>
      <c r="L8" s="105">
        <f t="shared" si="2"/>
        <v>84.33113779598996</v>
      </c>
      <c r="M8" s="105">
        <f t="shared" si="3"/>
        <v>217.9148333184643</v>
      </c>
      <c r="N8" s="106">
        <f t="shared" si="4"/>
        <v>56.539408672518441</v>
      </c>
    </row>
    <row r="9" spans="1:14" ht="14.4" x14ac:dyDescent="0.3">
      <c r="A9" s="110" t="s">
        <v>129</v>
      </c>
      <c r="B9" s="111">
        <v>1399591.44</v>
      </c>
      <c r="C9" s="146"/>
      <c r="D9" s="112">
        <v>70421</v>
      </c>
      <c r="E9" s="103">
        <f t="shared" si="0"/>
        <v>5.0315397756362387E-2</v>
      </c>
      <c r="F9" s="110">
        <v>57535.199999999997</v>
      </c>
      <c r="G9" s="135">
        <v>12885.8</v>
      </c>
      <c r="H9" s="143">
        <f t="shared" si="1"/>
        <v>0.18298234901520852</v>
      </c>
      <c r="I9" s="112">
        <v>27467.77</v>
      </c>
      <c r="J9" s="110">
        <v>17819.48</v>
      </c>
      <c r="K9" s="110">
        <v>8422.8700000000008</v>
      </c>
      <c r="L9" s="105">
        <f t="shared" si="2"/>
        <v>78.542776781365106</v>
      </c>
      <c r="M9" s="105">
        <f t="shared" si="3"/>
        <v>166.16562288151187</v>
      </c>
      <c r="N9" s="106">
        <f t="shared" si="4"/>
        <v>50.953952213812769</v>
      </c>
    </row>
    <row r="10" spans="1:14" ht="14.4" x14ac:dyDescent="0.3">
      <c r="A10" s="110" t="s">
        <v>130</v>
      </c>
      <c r="B10" s="111">
        <v>1773402.79</v>
      </c>
      <c r="C10" s="146"/>
      <c r="D10" s="112">
        <v>107445</v>
      </c>
      <c r="E10" s="103">
        <f t="shared" si="0"/>
        <v>6.0586912688910338E-2</v>
      </c>
      <c r="F10" s="110">
        <v>106369.72</v>
      </c>
      <c r="G10" s="135">
        <v>1075.28</v>
      </c>
      <c r="H10" s="143">
        <f t="shared" si="1"/>
        <v>1.0007724882498022E-2</v>
      </c>
      <c r="I10" s="112">
        <v>32415.47</v>
      </c>
      <c r="J10" s="110">
        <v>22981.17</v>
      </c>
      <c r="K10" s="110">
        <v>7745.07</v>
      </c>
      <c r="L10" s="105">
        <f t="shared" si="2"/>
        <v>77.167645946659817</v>
      </c>
      <c r="M10" s="105">
        <f t="shared" si="3"/>
        <v>228.97182207520399</v>
      </c>
      <c r="N10" s="106">
        <f t="shared" si="4"/>
        <v>54.708532376670767</v>
      </c>
    </row>
    <row r="11" spans="1:14" ht="14.4" x14ac:dyDescent="0.3">
      <c r="A11" s="110" t="s">
        <v>131</v>
      </c>
      <c r="B11" s="111">
        <v>2213197.21</v>
      </c>
      <c r="C11" s="146"/>
      <c r="D11" s="112">
        <v>85540</v>
      </c>
      <c r="E11" s="103">
        <f t="shared" si="0"/>
        <v>3.8649967392648213E-2</v>
      </c>
      <c r="F11" s="110">
        <v>93190.3</v>
      </c>
      <c r="G11" s="124">
        <v>-7650.3</v>
      </c>
      <c r="H11" s="143">
        <f t="shared" si="1"/>
        <v>-8.9435351882160397E-2</v>
      </c>
      <c r="I11" s="112">
        <v>39705.120000000003</v>
      </c>
      <c r="J11" s="151">
        <v>27934.799999999999</v>
      </c>
      <c r="K11" s="110">
        <v>9022.48</v>
      </c>
      <c r="L11" s="105">
        <f t="shared" si="2"/>
        <v>79.227243796268453</v>
      </c>
      <c r="M11" s="105">
        <f t="shared" si="3"/>
        <v>245.29810096558819</v>
      </c>
      <c r="N11" s="106">
        <f t="shared" si="4"/>
        <v>55.740851809539926</v>
      </c>
    </row>
    <row r="12" spans="1:14" ht="14.4" x14ac:dyDescent="0.3">
      <c r="A12" s="110" t="s">
        <v>132</v>
      </c>
      <c r="B12" s="111">
        <v>2176959.4700000002</v>
      </c>
      <c r="C12" s="146"/>
      <c r="D12" s="112">
        <v>68054</v>
      </c>
      <c r="E12" s="103">
        <f t="shared" si="0"/>
        <v>3.1261032158765911E-2</v>
      </c>
      <c r="F12" s="110">
        <v>74013.97</v>
      </c>
      <c r="G12" s="124">
        <v>-5959.97</v>
      </c>
      <c r="H12" s="143">
        <f t="shared" si="1"/>
        <v>-8.7577071149381375E-2</v>
      </c>
      <c r="I12" s="112">
        <v>39093.53</v>
      </c>
      <c r="J12" s="151">
        <v>27691.5</v>
      </c>
      <c r="K12" s="110">
        <v>9823.9599999999991</v>
      </c>
      <c r="L12" s="105">
        <f t="shared" si="2"/>
        <v>78.614718234837412</v>
      </c>
      <c r="M12" s="105">
        <f t="shared" si="3"/>
        <v>221.59693952336943</v>
      </c>
      <c r="N12" s="106">
        <f t="shared" si="4"/>
        <v>55.685927313292005</v>
      </c>
    </row>
    <row r="13" spans="1:14" ht="14.4" x14ac:dyDescent="0.3">
      <c r="A13" s="110" t="s">
        <v>133</v>
      </c>
      <c r="B13" s="111">
        <v>2103888.5</v>
      </c>
      <c r="C13" s="146"/>
      <c r="D13" s="112">
        <v>76849</v>
      </c>
      <c r="E13" s="103">
        <f t="shared" si="0"/>
        <v>3.6527125843408524E-2</v>
      </c>
      <c r="F13" s="110">
        <v>70046</v>
      </c>
      <c r="G13" s="135">
        <v>6803</v>
      </c>
      <c r="H13" s="143">
        <f t="shared" si="1"/>
        <v>8.852424885164413E-2</v>
      </c>
      <c r="I13" s="112">
        <v>40801.22</v>
      </c>
      <c r="J13" s="110">
        <v>28225.35</v>
      </c>
      <c r="K13" s="110">
        <v>10164.48</v>
      </c>
      <c r="L13" s="105">
        <f t="shared" si="2"/>
        <v>74.538969401619468</v>
      </c>
      <c r="M13" s="105">
        <f t="shared" si="3"/>
        <v>206.98437106472738</v>
      </c>
      <c r="N13" s="106">
        <f t="shared" si="4"/>
        <v>51.56435273258986</v>
      </c>
    </row>
    <row r="14" spans="1:14" ht="14.4" x14ac:dyDescent="0.3">
      <c r="A14" s="110" t="s">
        <v>134</v>
      </c>
      <c r="B14" s="111">
        <v>1903760.72</v>
      </c>
      <c r="C14" s="146"/>
      <c r="D14" s="112">
        <v>64431</v>
      </c>
      <c r="E14" s="103">
        <f t="shared" si="0"/>
        <v>3.384406418470489E-2</v>
      </c>
      <c r="F14" s="110">
        <v>75287.899999999994</v>
      </c>
      <c r="G14" s="124">
        <v>-10856.9</v>
      </c>
      <c r="H14" s="143">
        <f t="shared" si="1"/>
        <v>-0.16850429141251883</v>
      </c>
      <c r="I14" s="112">
        <v>34515.72</v>
      </c>
      <c r="J14" s="110">
        <v>22525.62</v>
      </c>
      <c r="K14" s="110">
        <v>9439.0400000000009</v>
      </c>
      <c r="L14" s="105">
        <f t="shared" si="2"/>
        <v>84.515352740568304</v>
      </c>
      <c r="M14" s="105">
        <f t="shared" si="3"/>
        <v>201.69007865206629</v>
      </c>
      <c r="N14" s="106">
        <f t="shared" si="4"/>
        <v>55.156338039594708</v>
      </c>
    </row>
    <row r="16" spans="1:14" ht="14.4" x14ac:dyDescent="0.3">
      <c r="A16" t="s">
        <v>135</v>
      </c>
      <c r="B16" s="109">
        <f>SUM(B3:B14)</f>
        <v>24119562.789999999</v>
      </c>
      <c r="C16" s="109"/>
      <c r="D16" s="109">
        <f>SUM(D3:D14)</f>
        <v>912424</v>
      </c>
      <c r="E16" s="109"/>
      <c r="F16" s="109">
        <f>SUM(F3:F14)</f>
        <v>961328.37</v>
      </c>
      <c r="G16" s="109">
        <f>SUM(G3:G14)</f>
        <v>-48904.37</v>
      </c>
      <c r="H16" s="109"/>
      <c r="I16" s="109">
        <f t="shared" ref="I16:K16" si="5">SUM(I3:I14)</f>
        <v>433981.80999999994</v>
      </c>
      <c r="J16" s="109">
        <f t="shared" si="5"/>
        <v>303861.19999999995</v>
      </c>
      <c r="K16" s="109">
        <f t="shared" si="5"/>
        <v>107426.40999999997</v>
      </c>
      <c r="L16" s="137">
        <f>AVERAGE(L3:L14)</f>
        <v>79.365982917508788</v>
      </c>
      <c r="M16" s="137">
        <f t="shared" ref="M16:N16" si="6">AVERAGE(M3:M14)</f>
        <v>225.05212168930748</v>
      </c>
      <c r="N16" s="137">
        <f t="shared" si="6"/>
        <v>55.468958453512926</v>
      </c>
    </row>
    <row r="17" spans="1:17" ht="14.4" x14ac:dyDescent="0.3">
      <c r="A17" s="107"/>
      <c r="B17" s="108"/>
      <c r="C17" s="108"/>
      <c r="D17" s="109"/>
      <c r="E17" s="108"/>
      <c r="F17" s="108"/>
      <c r="G17" s="108"/>
      <c r="H17" s="108"/>
      <c r="I17" s="108"/>
      <c r="J17" s="108"/>
      <c r="K17" s="108"/>
      <c r="L17" s="108"/>
      <c r="M17" s="108"/>
    </row>
    <row r="18" spans="1:17" ht="14.4" x14ac:dyDescent="0.3">
      <c r="A18" s="107"/>
      <c r="B18" s="108"/>
      <c r="C18" s="108"/>
      <c r="D18" s="109"/>
      <c r="E18" s="108"/>
      <c r="F18" s="108"/>
      <c r="G18" s="108"/>
      <c r="H18" s="108"/>
      <c r="I18" s="108"/>
      <c r="J18" s="108"/>
      <c r="K18" s="108"/>
      <c r="L18" s="108"/>
      <c r="M18" s="108"/>
    </row>
    <row r="19" spans="1:17" ht="14.4" x14ac:dyDescent="0.3">
      <c r="A19" s="107"/>
      <c r="B19" s="108"/>
      <c r="C19" s="108"/>
      <c r="D19" s="109"/>
      <c r="E19" s="108"/>
      <c r="F19" s="108"/>
      <c r="G19" s="108"/>
      <c r="H19" s="108"/>
      <c r="I19" s="108"/>
      <c r="J19" s="108"/>
      <c r="K19" s="108"/>
      <c r="L19" s="108"/>
      <c r="M19" s="108"/>
    </row>
    <row r="20" spans="1:17" ht="14.4" x14ac:dyDescent="0.3">
      <c r="A20" s="107"/>
      <c r="B20" s="108"/>
      <c r="C20" s="108"/>
      <c r="D20" s="109"/>
      <c r="E20" s="108"/>
      <c r="F20" s="108"/>
      <c r="G20" s="108"/>
      <c r="H20" s="108"/>
      <c r="I20" s="108"/>
      <c r="J20" s="108"/>
      <c r="K20" s="108"/>
      <c r="L20" s="108"/>
      <c r="M20" s="108"/>
    </row>
    <row r="21" spans="1:17" ht="14.4" customHeight="1" x14ac:dyDescent="0.3">
      <c r="A21" s="227">
        <v>2024</v>
      </c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</row>
    <row r="22" spans="1:17" ht="55.5" customHeight="1" x14ac:dyDescent="0.3">
      <c r="A22" s="133" t="s">
        <v>109</v>
      </c>
      <c r="B22" s="126" t="s">
        <v>110</v>
      </c>
      <c r="C22" s="147" t="s">
        <v>111</v>
      </c>
      <c r="D22" s="126" t="s">
        <v>112</v>
      </c>
      <c r="E22" s="127" t="s">
        <v>113</v>
      </c>
      <c r="F22" s="127" t="s">
        <v>114</v>
      </c>
      <c r="G22" s="127" t="s">
        <v>115</v>
      </c>
      <c r="H22" s="128" t="s">
        <v>116</v>
      </c>
      <c r="I22" s="129" t="s">
        <v>117</v>
      </c>
      <c r="J22" s="129" t="s">
        <v>118</v>
      </c>
      <c r="K22" s="129" t="s">
        <v>119</v>
      </c>
      <c r="L22" s="127" t="s">
        <v>120</v>
      </c>
      <c r="M22" s="127" t="s">
        <v>121</v>
      </c>
      <c r="N22" s="130" t="s">
        <v>122</v>
      </c>
      <c r="Q22" s="145"/>
    </row>
    <row r="23" spans="1:17" ht="14.4" customHeight="1" x14ac:dyDescent="0.3">
      <c r="A23" s="112" t="s">
        <v>123</v>
      </c>
      <c r="B23" s="111">
        <v>2035135.3</v>
      </c>
      <c r="C23" s="148">
        <f>((B23/B3)-1)</f>
        <v>8.3833299244646664E-3</v>
      </c>
      <c r="D23" s="105">
        <v>67170.5</v>
      </c>
      <c r="E23" s="103">
        <f>D23/B23</f>
        <v>3.3005422293053442E-2</v>
      </c>
      <c r="F23" s="105">
        <v>70081.3</v>
      </c>
      <c r="G23" s="124">
        <v>-2910.8</v>
      </c>
      <c r="H23" s="104">
        <f>G23/B23</f>
        <v>-1.430273456511712E-3</v>
      </c>
      <c r="I23" s="110">
        <v>37561.410000000003</v>
      </c>
      <c r="J23" s="110">
        <v>25466.18</v>
      </c>
      <c r="K23" s="110">
        <v>10010.049999999999</v>
      </c>
      <c r="L23" s="105">
        <f>B23/J23</f>
        <v>79.915216966188098</v>
      </c>
      <c r="M23" s="105">
        <f>B23/K23</f>
        <v>203.30920424972905</v>
      </c>
      <c r="N23" s="106">
        <f>B23/I23</f>
        <v>54.181546965356198</v>
      </c>
      <c r="P23" s="107"/>
      <c r="Q23" s="71"/>
    </row>
    <row r="24" spans="1:17" ht="14.4" customHeight="1" x14ac:dyDescent="0.3">
      <c r="A24" s="112" t="s">
        <v>124</v>
      </c>
      <c r="B24" s="111">
        <v>1919491.36</v>
      </c>
      <c r="C24" s="148">
        <f>((B24/B4)-1)</f>
        <v>2.8343635406068879E-2</v>
      </c>
      <c r="D24" s="105">
        <v>62481</v>
      </c>
      <c r="E24" s="103">
        <f t="shared" ref="E24:E36" si="7">D24/B24</f>
        <v>3.2550810752281792E-2</v>
      </c>
      <c r="F24" s="105">
        <v>75970.81</v>
      </c>
      <c r="G24" s="124">
        <v>-13489.81</v>
      </c>
      <c r="H24" s="104">
        <f t="shared" ref="H24:H33" si="8">G24/B24</f>
        <v>-7.0278044908730396E-3</v>
      </c>
      <c r="I24" s="110">
        <v>37709.26</v>
      </c>
      <c r="J24" s="110">
        <v>25208.62</v>
      </c>
      <c r="K24" s="110">
        <v>10454.549999999999</v>
      </c>
      <c r="L24" s="105">
        <f t="shared" ref="L24:L29" si="9">B24/J24</f>
        <v>76.144245896840062</v>
      </c>
      <c r="M24" s="105">
        <f t="shared" ref="M24:M29" si="10">B24/K24</f>
        <v>183.60344156372108</v>
      </c>
      <c r="N24" s="106">
        <f t="shared" ref="N24:N30" si="11">B24/I24</f>
        <v>50.902387371165595</v>
      </c>
      <c r="P24" s="107"/>
      <c r="Q24" s="71"/>
    </row>
    <row r="25" spans="1:17" ht="14.4" customHeight="1" x14ac:dyDescent="0.3">
      <c r="A25" s="112" t="s">
        <v>125</v>
      </c>
      <c r="B25" s="111">
        <v>1610606.75</v>
      </c>
      <c r="C25" s="149">
        <f t="shared" ref="C25:C33" si="12">((B25/B5)-1)</f>
        <v>-0.28709663282313824</v>
      </c>
      <c r="D25" s="105">
        <v>58657.7</v>
      </c>
      <c r="E25" s="103">
        <f t="shared" si="7"/>
        <v>3.6419628813799516E-2</v>
      </c>
      <c r="F25" s="105">
        <v>61189.09</v>
      </c>
      <c r="G25" s="124">
        <v>-2531.39</v>
      </c>
      <c r="H25" s="104">
        <f t="shared" si="8"/>
        <v>-1.571699609479471E-3</v>
      </c>
      <c r="I25" s="151">
        <v>30147.599999999999</v>
      </c>
      <c r="J25" s="110">
        <v>19071.419999999998</v>
      </c>
      <c r="K25" s="110">
        <v>9268.2800000000007</v>
      </c>
      <c r="L25" s="105">
        <f t="shared" si="9"/>
        <v>84.45132821782542</v>
      </c>
      <c r="M25" s="105">
        <f t="shared" si="10"/>
        <v>173.77622924641895</v>
      </c>
      <c r="N25" s="106">
        <f t="shared" si="11"/>
        <v>53.424045363478356</v>
      </c>
      <c r="P25" s="107"/>
      <c r="Q25" s="71"/>
    </row>
    <row r="26" spans="1:17" ht="14.4" customHeight="1" x14ac:dyDescent="0.3">
      <c r="A26" s="112" t="s">
        <v>126</v>
      </c>
      <c r="B26" s="111">
        <v>2058949.03</v>
      </c>
      <c r="C26" s="148">
        <f t="shared" si="12"/>
        <v>0.16106892309014809</v>
      </c>
      <c r="D26" s="105">
        <v>73804</v>
      </c>
      <c r="E26" s="103">
        <f t="shared" si="7"/>
        <v>3.5845472095052296E-2</v>
      </c>
      <c r="F26" s="105">
        <v>66755.149999999994</v>
      </c>
      <c r="G26" s="135">
        <v>7048.85</v>
      </c>
      <c r="H26" s="104">
        <f t="shared" si="8"/>
        <v>3.4235184539755216E-3</v>
      </c>
      <c r="I26" s="110">
        <v>39646.65</v>
      </c>
      <c r="J26" s="110">
        <v>25299.57</v>
      </c>
      <c r="K26" s="110">
        <v>12354.76</v>
      </c>
      <c r="L26" s="105">
        <f t="shared" si="9"/>
        <v>81.382767770361312</v>
      </c>
      <c r="M26" s="105">
        <f t="shared" si="10"/>
        <v>166.65228867254402</v>
      </c>
      <c r="N26" s="106">
        <f t="shared" si="11"/>
        <v>51.932484333480886</v>
      </c>
      <c r="P26" s="107"/>
      <c r="Q26" s="71"/>
    </row>
    <row r="27" spans="1:17" ht="14.4" customHeight="1" x14ac:dyDescent="0.3">
      <c r="A27" s="112" t="s">
        <v>127</v>
      </c>
      <c r="B27" s="111">
        <v>1725427.95</v>
      </c>
      <c r="C27" s="149">
        <f t="shared" si="12"/>
        <v>-0.29084353850929701</v>
      </c>
      <c r="D27" s="105">
        <v>70394</v>
      </c>
      <c r="E27" s="103">
        <f t="shared" si="7"/>
        <v>4.0797994491743338E-2</v>
      </c>
      <c r="F27" s="105">
        <v>66150.36</v>
      </c>
      <c r="G27" s="135">
        <v>4243.6400000000003</v>
      </c>
      <c r="H27" s="104">
        <f t="shared" si="8"/>
        <v>2.4594709967460538E-3</v>
      </c>
      <c r="I27" s="110">
        <v>33448.06</v>
      </c>
      <c r="J27" s="110">
        <v>22352.97</v>
      </c>
      <c r="K27" s="110">
        <v>9545.94</v>
      </c>
      <c r="L27" s="105">
        <f t="shared" si="9"/>
        <v>77.190098228557545</v>
      </c>
      <c r="M27" s="105">
        <f t="shared" si="10"/>
        <v>180.74992614661309</v>
      </c>
      <c r="N27" s="106">
        <f t="shared" si="11"/>
        <v>51.58529224116436</v>
      </c>
      <c r="P27" s="107"/>
      <c r="Q27" s="71"/>
    </row>
    <row r="28" spans="1:17" ht="14.4" customHeight="1" x14ac:dyDescent="0.3">
      <c r="A28" s="112" t="s">
        <v>128</v>
      </c>
      <c r="B28" s="111">
        <v>1805475.87</v>
      </c>
      <c r="C28" s="149">
        <f t="shared" si="12"/>
        <v>-0.17871192588040574</v>
      </c>
      <c r="D28" s="105">
        <v>85324</v>
      </c>
      <c r="E28" s="103">
        <f t="shared" si="7"/>
        <v>4.7258454913606793E-2</v>
      </c>
      <c r="F28" s="105">
        <v>79587.94</v>
      </c>
      <c r="G28" s="135">
        <v>5736.06</v>
      </c>
      <c r="H28" s="104">
        <f t="shared" si="8"/>
        <v>3.1770349830263864E-3</v>
      </c>
      <c r="I28" s="110">
        <v>32904.370000000003</v>
      </c>
      <c r="J28" s="110">
        <v>21533.38</v>
      </c>
      <c r="K28" s="110">
        <v>9650.5400000000009</v>
      </c>
      <c r="L28" s="105">
        <f t="shared" si="9"/>
        <v>83.845446929371974</v>
      </c>
      <c r="M28" s="105">
        <f t="shared" si="10"/>
        <v>187.08547604590001</v>
      </c>
      <c r="N28" s="106">
        <f t="shared" si="11"/>
        <v>54.870397761756266</v>
      </c>
      <c r="P28" s="107"/>
      <c r="Q28" s="71"/>
    </row>
    <row r="29" spans="1:17" ht="14.4" customHeight="1" x14ac:dyDescent="0.3">
      <c r="A29" s="112" t="s">
        <v>129</v>
      </c>
      <c r="B29" s="111">
        <v>1977728.24</v>
      </c>
      <c r="C29" s="148">
        <f t="shared" si="12"/>
        <v>0.41307540434800027</v>
      </c>
      <c r="D29" s="105">
        <v>73782</v>
      </c>
      <c r="E29" s="103">
        <f t="shared" si="7"/>
        <v>3.7306440039507144E-2</v>
      </c>
      <c r="F29" s="105">
        <v>99916.2</v>
      </c>
      <c r="G29" s="124">
        <v>-26134.2</v>
      </c>
      <c r="H29" s="104">
        <f t="shared" si="8"/>
        <v>-1.3214252328216743E-2</v>
      </c>
      <c r="I29" s="110">
        <v>39323.550000000003</v>
      </c>
      <c r="J29" s="151">
        <v>26928</v>
      </c>
      <c r="K29" s="110">
        <v>10662.58</v>
      </c>
      <c r="L29" s="105">
        <f t="shared" si="9"/>
        <v>73.445047534165184</v>
      </c>
      <c r="M29" s="105">
        <f t="shared" si="10"/>
        <v>185.48308570721159</v>
      </c>
      <c r="N29" s="106">
        <f t="shared" si="11"/>
        <v>50.29373594194827</v>
      </c>
      <c r="P29" s="107"/>
      <c r="Q29" s="71"/>
    </row>
    <row r="30" spans="1:17" ht="14.4" customHeight="1" x14ac:dyDescent="0.3">
      <c r="A30" s="112" t="s">
        <v>130</v>
      </c>
      <c r="B30" s="111">
        <v>1661237.96</v>
      </c>
      <c r="C30" s="149">
        <f t="shared" si="12"/>
        <v>-6.3248366717636673E-2</v>
      </c>
      <c r="D30" s="105">
        <v>73576</v>
      </c>
      <c r="E30" s="103">
        <f t="shared" si="7"/>
        <v>4.4289862001467867E-2</v>
      </c>
      <c r="F30" s="105">
        <v>75344.320000000007</v>
      </c>
      <c r="G30" s="124">
        <v>-1768.32</v>
      </c>
      <c r="H30" s="125">
        <f t="shared" si="8"/>
        <v>-1.0644591819946132E-3</v>
      </c>
      <c r="I30" s="110">
        <v>32939.96</v>
      </c>
      <c r="J30" s="110">
        <v>21420.05</v>
      </c>
      <c r="K30" s="110">
        <v>8730.52</v>
      </c>
      <c r="L30" s="105">
        <f>B30/J30</f>
        <v>77.555279282728094</v>
      </c>
      <c r="M30" s="105">
        <f>B30/K30</f>
        <v>190.27938312952722</v>
      </c>
      <c r="N30" s="106">
        <f t="shared" si="11"/>
        <v>50.432300464238573</v>
      </c>
      <c r="P30" s="107"/>
      <c r="Q30" s="71"/>
    </row>
    <row r="31" spans="1:17" ht="14.4" customHeight="1" x14ac:dyDescent="0.3">
      <c r="A31" s="112" t="s">
        <v>131</v>
      </c>
      <c r="B31" s="131">
        <v>1833184.03</v>
      </c>
      <c r="C31" s="149">
        <f t="shared" si="12"/>
        <v>-0.17170326181641982</v>
      </c>
      <c r="D31" s="106">
        <v>88641.47</v>
      </c>
      <c r="E31" s="103">
        <f t="shared" si="7"/>
        <v>4.8353830575318724E-2</v>
      </c>
      <c r="F31" s="106">
        <v>88978.2</v>
      </c>
      <c r="G31" s="124">
        <f>D31-F31</f>
        <v>-336.72999999999593</v>
      </c>
      <c r="H31" s="125">
        <f t="shared" si="8"/>
        <v>-1.8368586813403338E-4</v>
      </c>
      <c r="I31" s="132">
        <v>36390.35</v>
      </c>
      <c r="J31" s="144">
        <v>25823.15</v>
      </c>
      <c r="K31" s="132">
        <v>9697.4500000000007</v>
      </c>
      <c r="L31" s="105">
        <f>B31/J31</f>
        <v>70.989946230417274</v>
      </c>
      <c r="M31" s="105">
        <f>B31/K31</f>
        <v>189.03773981819961</v>
      </c>
      <c r="N31" s="106">
        <f t="shared" ref="N31" si="13">B31/I31</f>
        <v>50.375553683874983</v>
      </c>
      <c r="P31" s="107"/>
      <c r="Q31" s="71"/>
    </row>
    <row r="32" spans="1:17" ht="14.4" customHeight="1" x14ac:dyDescent="0.3">
      <c r="A32" s="112" t="s">
        <v>132</v>
      </c>
      <c r="B32" s="131">
        <v>2247275.1800000002</v>
      </c>
      <c r="C32" s="148">
        <f t="shared" si="12"/>
        <v>3.2299962846804808E-2</v>
      </c>
      <c r="D32" s="106">
        <v>59301</v>
      </c>
      <c r="E32" s="103">
        <f t="shared" si="7"/>
        <v>2.6387956636445383E-2</v>
      </c>
      <c r="F32" s="106">
        <v>63739.71</v>
      </c>
      <c r="G32" s="124">
        <f>D32-F32</f>
        <v>-4438.7099999999991</v>
      </c>
      <c r="H32" s="125">
        <f t="shared" si="8"/>
        <v>-1.9751519704854299E-3</v>
      </c>
      <c r="I32" s="144">
        <v>43433.3</v>
      </c>
      <c r="J32" s="132">
        <v>29305.82</v>
      </c>
      <c r="K32" s="132">
        <v>11502.41</v>
      </c>
      <c r="L32" s="105">
        <f>B32/J32</f>
        <v>76.683579575661085</v>
      </c>
      <c r="M32" s="105">
        <f>B32/K32</f>
        <v>195.37428938804999</v>
      </c>
      <c r="N32" s="106">
        <f t="shared" ref="N32" si="14">B32/I32</f>
        <v>51.740834336787671</v>
      </c>
      <c r="P32" s="107"/>
      <c r="Q32" s="71"/>
    </row>
    <row r="33" spans="1:17" ht="14.4" customHeight="1" x14ac:dyDescent="0.3">
      <c r="A33" s="134" t="s">
        <v>133</v>
      </c>
      <c r="B33" s="131">
        <v>2407068.87</v>
      </c>
      <c r="C33" s="148">
        <f t="shared" si="12"/>
        <v>0.14410477076137829</v>
      </c>
      <c r="D33" s="106">
        <v>48123.5</v>
      </c>
      <c r="E33" s="103">
        <f t="shared" si="7"/>
        <v>1.9992572958662375E-2</v>
      </c>
      <c r="F33" s="106">
        <v>48597.43</v>
      </c>
      <c r="G33" s="124">
        <f>D33-F33</f>
        <v>-473.93000000000029</v>
      </c>
      <c r="H33" s="125">
        <f t="shared" si="8"/>
        <v>-1.9689091820625817E-4</v>
      </c>
      <c r="I33" s="144">
        <v>43433.3</v>
      </c>
      <c r="J33" s="132">
        <v>33027.769999999997</v>
      </c>
      <c r="K33" s="132">
        <v>13345.83</v>
      </c>
      <c r="L33" s="105">
        <f t="shared" ref="L33:L34" si="15">B33/J33</f>
        <v>72.880151157647049</v>
      </c>
      <c r="M33" s="105">
        <f t="shared" ref="M33:M34" si="16">B33/K33</f>
        <v>180.36112178860364</v>
      </c>
      <c r="N33" s="106">
        <f t="shared" ref="N33:N34" si="17">B33/I33</f>
        <v>55.419893722098017</v>
      </c>
      <c r="P33" s="107"/>
      <c r="Q33" s="71"/>
    </row>
    <row r="34" spans="1:17" ht="14.4" customHeight="1" x14ac:dyDescent="0.3">
      <c r="A34" s="112" t="s">
        <v>134</v>
      </c>
      <c r="B34" s="111">
        <v>1996586.87</v>
      </c>
      <c r="C34" s="148">
        <f>((B34/B14)-1)</f>
        <v>4.8759357741134712E-2</v>
      </c>
      <c r="D34" s="105">
        <v>80947.5</v>
      </c>
      <c r="E34" s="103">
        <f t="shared" si="7"/>
        <v>4.0542939160969238E-2</v>
      </c>
      <c r="F34" s="105">
        <v>78381</v>
      </c>
      <c r="G34" s="135">
        <f>D34-F34</f>
        <v>2566.5</v>
      </c>
      <c r="H34" s="125">
        <f t="shared" ref="H34" si="18">G34/B34</f>
        <v>1.2854436932163136E-3</v>
      </c>
      <c r="I34" s="144">
        <v>43433.3</v>
      </c>
      <c r="J34" s="110">
        <v>27486.13</v>
      </c>
      <c r="K34" s="110">
        <v>11025.22</v>
      </c>
      <c r="L34" s="105">
        <f t="shared" si="15"/>
        <v>72.639795780635538</v>
      </c>
      <c r="M34" s="105">
        <f t="shared" si="16"/>
        <v>181.09270109802799</v>
      </c>
      <c r="N34" s="106">
        <f t="shared" si="17"/>
        <v>45.969034588668144</v>
      </c>
      <c r="P34" s="107"/>
      <c r="Q34" s="47"/>
    </row>
    <row r="35" spans="1:17" ht="14.4" customHeight="1" x14ac:dyDescent="0.3">
      <c r="A35" s="107"/>
      <c r="B35" s="108"/>
      <c r="C35" s="108"/>
      <c r="D35" s="109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1:17" ht="14.4" customHeight="1" x14ac:dyDescent="0.3">
      <c r="A36" t="s">
        <v>135</v>
      </c>
      <c r="B36" s="109">
        <f>SUM(B23:B34)</f>
        <v>23278167.410000004</v>
      </c>
      <c r="C36" s="109"/>
      <c r="D36" s="109">
        <f>SUM(D23:D34)</f>
        <v>842202.66999999993</v>
      </c>
      <c r="E36" s="164">
        <f t="shared" si="7"/>
        <v>3.6179938702485676E-2</v>
      </c>
      <c r="F36" s="108">
        <f>SUM(F23:F34)</f>
        <v>874691.50999999989</v>
      </c>
      <c r="G36" s="165">
        <f>D36-F36</f>
        <v>-32488.839999999967</v>
      </c>
      <c r="H36" s="108"/>
      <c r="I36" s="108">
        <f>SUM(I23:I34)</f>
        <v>450371.11</v>
      </c>
      <c r="J36" s="108">
        <f>SUM(J23:J34)</f>
        <v>302923.06</v>
      </c>
      <c r="K36" s="108">
        <f>SUM(K23:K34)</f>
        <v>126248.13</v>
      </c>
      <c r="L36" s="136">
        <f>AVERAGE(L23:L34)</f>
        <v>77.260241964199892</v>
      </c>
      <c r="M36" s="136">
        <f>AVERAGE(M23:M34)</f>
        <v>184.73374057121217</v>
      </c>
      <c r="N36" s="137">
        <f>AVERAGE(N23:N34)</f>
        <v>51.760625564501431</v>
      </c>
      <c r="Q36" s="71"/>
    </row>
    <row r="37" spans="1:17" ht="14.4" x14ac:dyDescent="0.3"/>
    <row r="38" spans="1:17" ht="15" customHeight="1" x14ac:dyDescent="0.3">
      <c r="G38" s="29"/>
    </row>
    <row r="41" spans="1:17" ht="15" customHeight="1" x14ac:dyDescent="0.3">
      <c r="A41" s="227">
        <v>2025</v>
      </c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</row>
    <row r="42" spans="1:17" ht="30.75" customHeight="1" x14ac:dyDescent="0.3">
      <c r="A42" s="133" t="s">
        <v>109</v>
      </c>
      <c r="B42" s="126" t="s">
        <v>110</v>
      </c>
      <c r="C42" s="147" t="s">
        <v>111</v>
      </c>
      <c r="D42" s="126" t="s">
        <v>112</v>
      </c>
      <c r="E42" s="127" t="s">
        <v>136</v>
      </c>
      <c r="F42" s="127" t="s">
        <v>114</v>
      </c>
      <c r="G42" s="127" t="s">
        <v>115</v>
      </c>
      <c r="H42" s="128" t="s">
        <v>116</v>
      </c>
      <c r="I42" s="129" t="s">
        <v>117</v>
      </c>
      <c r="J42" s="129" t="s">
        <v>118</v>
      </c>
      <c r="K42" s="129" t="s">
        <v>119</v>
      </c>
      <c r="L42" s="127" t="s">
        <v>120</v>
      </c>
      <c r="M42" s="127" t="s">
        <v>121</v>
      </c>
      <c r="N42" s="130" t="s">
        <v>122</v>
      </c>
    </row>
    <row r="43" spans="1:17" ht="15" customHeight="1" x14ac:dyDescent="0.3">
      <c r="A43" s="112" t="s">
        <v>123</v>
      </c>
      <c r="B43" s="111">
        <v>2218517.7799999998</v>
      </c>
      <c r="C43" s="148">
        <f t="shared" ref="C43:C54" si="19">((B43/B23)-1)</f>
        <v>9.0108249805307628E-2</v>
      </c>
      <c r="D43" s="110">
        <v>53524</v>
      </c>
      <c r="E43" s="103">
        <f t="shared" ref="E43:E54" si="20">D43/B43</f>
        <v>2.4126018047959934E-2</v>
      </c>
      <c r="F43" s="110">
        <v>56358</v>
      </c>
      <c r="G43" s="169">
        <f t="shared" ref="G43:G54" si="21">D43-F43</f>
        <v>-2834</v>
      </c>
      <c r="H43" s="157">
        <f>G43/B43</f>
        <v>-1.2774294736551538E-3</v>
      </c>
      <c r="I43" s="105">
        <v>43995.67</v>
      </c>
      <c r="J43" s="105">
        <v>33044.660000000003</v>
      </c>
      <c r="K43" s="105">
        <v>10951.01</v>
      </c>
      <c r="L43" s="105">
        <f t="shared" ref="L43:L54" si="22">B43/J43</f>
        <v>67.136952838976086</v>
      </c>
      <c r="M43" s="105">
        <f t="shared" ref="M43:M54" si="23">B43/K43</f>
        <v>202.58567748545565</v>
      </c>
      <c r="N43" s="106">
        <f t="shared" ref="N43:N54" si="24">B43/I43</f>
        <v>50.425820995566148</v>
      </c>
    </row>
    <row r="44" spans="1:17" ht="15" customHeight="1" x14ac:dyDescent="0.3">
      <c r="A44" s="112" t="s">
        <v>124</v>
      </c>
      <c r="B44" s="111">
        <v>2316322.2599999998</v>
      </c>
      <c r="C44" s="148">
        <f t="shared" si="19"/>
        <v>0.20673752863362704</v>
      </c>
      <c r="D44" s="110">
        <v>80476</v>
      </c>
      <c r="E44" s="103">
        <f t="shared" si="20"/>
        <v>3.4743006786974458E-2</v>
      </c>
      <c r="F44" s="110">
        <v>77282</v>
      </c>
      <c r="G44" s="169">
        <f t="shared" si="21"/>
        <v>3194</v>
      </c>
      <c r="H44" s="158">
        <f t="shared" ref="H44:H48" si="25">G44/B44</f>
        <v>1.3789100312838164E-3</v>
      </c>
      <c r="I44" s="105">
        <v>46986.33</v>
      </c>
      <c r="J44" s="105">
        <v>35324.47</v>
      </c>
      <c r="K44" s="105">
        <v>11659.86</v>
      </c>
      <c r="L44" s="105">
        <f t="shared" si="22"/>
        <v>65.572739237135039</v>
      </c>
      <c r="M44" s="105">
        <f t="shared" si="23"/>
        <v>198.65781064266636</v>
      </c>
      <c r="N44" s="106">
        <f t="shared" si="24"/>
        <v>49.297790655282071</v>
      </c>
    </row>
    <row r="45" spans="1:17" ht="15" customHeight="1" x14ac:dyDescent="0.3">
      <c r="A45" s="112" t="s">
        <v>125</v>
      </c>
      <c r="B45" s="111">
        <v>2134569.09</v>
      </c>
      <c r="C45" s="148">
        <f t="shared" si="19"/>
        <v>0.32531984607664155</v>
      </c>
      <c r="D45" s="105">
        <v>89948.84</v>
      </c>
      <c r="E45" s="103">
        <f t="shared" si="20"/>
        <v>4.2139109210093548E-2</v>
      </c>
      <c r="F45" s="110">
        <v>91386</v>
      </c>
      <c r="G45" s="169">
        <f t="shared" si="21"/>
        <v>-1437.1600000000035</v>
      </c>
      <c r="H45" s="157">
        <f t="shared" si="25"/>
        <v>-6.7327874592243984E-4</v>
      </c>
      <c r="I45" s="105">
        <v>43530.3</v>
      </c>
      <c r="J45" s="105">
        <v>33262.300000000003</v>
      </c>
      <c r="K45" s="159">
        <v>10268.1</v>
      </c>
      <c r="L45" s="105">
        <f t="shared" si="22"/>
        <v>64.17382712560466</v>
      </c>
      <c r="M45" s="105">
        <f t="shared" si="23"/>
        <v>207.88355099775029</v>
      </c>
      <c r="N45" s="106">
        <f t="shared" si="24"/>
        <v>49.036397405944818</v>
      </c>
    </row>
    <row r="46" spans="1:17" ht="15" customHeight="1" x14ac:dyDescent="0.3">
      <c r="A46" s="112" t="s">
        <v>126</v>
      </c>
      <c r="B46" s="111">
        <v>2188870.34</v>
      </c>
      <c r="C46" s="148">
        <f t="shared" si="19"/>
        <v>6.3100789823825609E-2</v>
      </c>
      <c r="D46" s="110">
        <v>78776</v>
      </c>
      <c r="E46" s="103">
        <f t="shared" si="20"/>
        <v>3.598934051068553E-2</v>
      </c>
      <c r="F46" s="110">
        <v>78529</v>
      </c>
      <c r="G46" s="169">
        <f t="shared" si="21"/>
        <v>247</v>
      </c>
      <c r="H46" s="158">
        <f t="shared" si="25"/>
        <v>1.1284359584314164E-4</v>
      </c>
      <c r="I46" s="105">
        <v>44576.44</v>
      </c>
      <c r="J46" s="105">
        <v>33152.79</v>
      </c>
      <c r="K46" s="105">
        <v>11423.65</v>
      </c>
      <c r="L46" s="105">
        <f t="shared" si="22"/>
        <v>66.023714444545988</v>
      </c>
      <c r="M46" s="105">
        <f t="shared" si="23"/>
        <v>191.60866623189611</v>
      </c>
      <c r="N46" s="106">
        <f t="shared" si="24"/>
        <v>49.103749424583924</v>
      </c>
    </row>
    <row r="47" spans="1:17" ht="15" customHeight="1" x14ac:dyDescent="0.3">
      <c r="A47" s="112" t="s">
        <v>127</v>
      </c>
      <c r="B47" s="111">
        <v>2476204.41</v>
      </c>
      <c r="C47" s="148">
        <f t="shared" si="19"/>
        <v>0.43512478165199542</v>
      </c>
      <c r="D47" s="110">
        <v>73722</v>
      </c>
      <c r="E47" s="103">
        <f t="shared" si="20"/>
        <v>2.9772178622361794E-2</v>
      </c>
      <c r="F47" s="110">
        <v>75171</v>
      </c>
      <c r="G47" s="169">
        <f t="shared" si="21"/>
        <v>-1449</v>
      </c>
      <c r="H47" s="157">
        <f t="shared" si="25"/>
        <v>-5.8516978410518212E-4</v>
      </c>
      <c r="I47" s="105">
        <v>51244.13</v>
      </c>
      <c r="J47" s="105">
        <v>38880.42</v>
      </c>
      <c r="K47" s="105">
        <v>12363.71</v>
      </c>
      <c r="L47" s="105">
        <f t="shared" si="22"/>
        <v>63.687697046482526</v>
      </c>
      <c r="M47" s="105">
        <f t="shared" si="23"/>
        <v>200.28004619972486</v>
      </c>
      <c r="N47" s="106">
        <f t="shared" si="24"/>
        <v>48.321718214359386</v>
      </c>
    </row>
    <row r="48" spans="1:17" ht="15" customHeight="1" x14ac:dyDescent="0.3">
      <c r="A48" s="112" t="s">
        <v>128</v>
      </c>
      <c r="B48" s="111">
        <v>2425845.88</v>
      </c>
      <c r="C48" s="148">
        <f t="shared" si="19"/>
        <v>0.34360470849161762</v>
      </c>
      <c r="D48" s="110">
        <v>98079</v>
      </c>
      <c r="E48" s="103">
        <f t="shared" si="20"/>
        <v>4.0430845507794584E-2</v>
      </c>
      <c r="F48" s="110">
        <v>91928.5</v>
      </c>
      <c r="G48" s="169">
        <f t="shared" si="21"/>
        <v>6150.5</v>
      </c>
      <c r="H48" s="158">
        <f t="shared" si="25"/>
        <v>2.5354042689636988E-3</v>
      </c>
      <c r="I48" s="105">
        <v>49757.55</v>
      </c>
      <c r="J48" s="105">
        <v>37004.67</v>
      </c>
      <c r="K48" s="105">
        <v>12752.88</v>
      </c>
      <c r="L48" s="105">
        <f t="shared" si="22"/>
        <v>65.555128041947142</v>
      </c>
      <c r="M48" s="105">
        <f t="shared" si="23"/>
        <v>190.21945474277183</v>
      </c>
      <c r="N48" s="106">
        <f t="shared" si="24"/>
        <v>48.7533224606115</v>
      </c>
    </row>
    <row r="49" spans="1:14" ht="15" customHeight="1" x14ac:dyDescent="0.3">
      <c r="A49" s="112" t="s">
        <v>129</v>
      </c>
      <c r="B49" s="111">
        <v>2431417</v>
      </c>
      <c r="C49" s="148">
        <f t="shared" si="19"/>
        <v>0.22939893905747133</v>
      </c>
      <c r="D49" s="110">
        <v>113320</v>
      </c>
      <c r="E49" s="103">
        <f t="shared" si="20"/>
        <v>4.6606567281548168E-2</v>
      </c>
      <c r="F49" s="110">
        <v>112864</v>
      </c>
      <c r="G49" s="169">
        <f t="shared" si="21"/>
        <v>456</v>
      </c>
      <c r="H49" s="158">
        <f>G49/B49</f>
        <v>1.8754495835144691E-4</v>
      </c>
      <c r="I49" s="110">
        <f>J49+K49</f>
        <v>53993</v>
      </c>
      <c r="J49" s="110">
        <v>40041</v>
      </c>
      <c r="K49" s="110">
        <v>13952</v>
      </c>
      <c r="L49" s="105">
        <f t="shared" si="22"/>
        <v>60.723183736669917</v>
      </c>
      <c r="M49" s="105">
        <f t="shared" si="23"/>
        <v>174.27014048165137</v>
      </c>
      <c r="N49" s="106">
        <f t="shared" si="24"/>
        <v>45.032078232363453</v>
      </c>
    </row>
    <row r="50" spans="1:14" ht="15" customHeight="1" x14ac:dyDescent="0.3">
      <c r="A50" s="112" t="s">
        <v>130</v>
      </c>
      <c r="B50" s="111">
        <v>1827464.25</v>
      </c>
      <c r="C50" s="148">
        <f t="shared" si="19"/>
        <v>0.10006169736212867</v>
      </c>
      <c r="D50" s="110">
        <v>108689</v>
      </c>
      <c r="E50" s="103">
        <f t="shared" si="20"/>
        <v>5.947530847730674E-2</v>
      </c>
      <c r="F50" s="110">
        <v>81036</v>
      </c>
      <c r="G50" s="169">
        <f t="shared" si="21"/>
        <v>27653</v>
      </c>
      <c r="H50" s="157">
        <f>G50/B50</f>
        <v>1.5131896561040798E-2</v>
      </c>
      <c r="I50" s="110">
        <v>42953</v>
      </c>
      <c r="J50" s="110">
        <v>30349</v>
      </c>
      <c r="K50" s="110">
        <v>12600</v>
      </c>
      <c r="L50" s="105">
        <f t="shared" si="22"/>
        <v>60.214974134238361</v>
      </c>
      <c r="M50" s="105">
        <f t="shared" si="23"/>
        <v>145.03684523809522</v>
      </c>
      <c r="N50" s="106">
        <f t="shared" si="24"/>
        <v>42.54567201359626</v>
      </c>
    </row>
    <row r="51" spans="1:14" ht="15" customHeight="1" x14ac:dyDescent="0.3">
      <c r="A51" s="112" t="s">
        <v>131</v>
      </c>
      <c r="B51" s="131">
        <v>2316767.91</v>
      </c>
      <c r="C51" s="148">
        <f t="shared" si="19"/>
        <v>0.2637945083996831</v>
      </c>
      <c r="D51" s="106">
        <v>118896</v>
      </c>
      <c r="E51" s="103">
        <f t="shared" si="20"/>
        <v>5.1319771603708028E-2</v>
      </c>
      <c r="F51" s="170">
        <v>121130</v>
      </c>
      <c r="G51" s="169">
        <f t="shared" si="21"/>
        <v>-2234</v>
      </c>
      <c r="H51" s="125">
        <f>G51/B51</f>
        <v>-9.6427440588988474E-4</v>
      </c>
      <c r="I51" s="132">
        <v>54408</v>
      </c>
      <c r="J51" s="106">
        <v>40735</v>
      </c>
      <c r="K51" s="132">
        <v>13673</v>
      </c>
      <c r="L51" s="105">
        <f t="shared" si="22"/>
        <v>56.874135510003683</v>
      </c>
      <c r="M51" s="105">
        <f t="shared" si="23"/>
        <v>169.44108169384921</v>
      </c>
      <c r="N51" s="106">
        <f t="shared" si="24"/>
        <v>42.581383436259379</v>
      </c>
    </row>
    <row r="52" spans="1:14" ht="15" customHeight="1" x14ac:dyDescent="0.3">
      <c r="A52" s="112" t="s">
        <v>132</v>
      </c>
      <c r="B52" s="131">
        <v>2495658.56</v>
      </c>
      <c r="C52" s="148">
        <f>((B52/B32)-1)</f>
        <v>0.11052646432022617</v>
      </c>
      <c r="D52" s="132">
        <v>84362</v>
      </c>
      <c r="E52" s="103">
        <f t="shared" si="20"/>
        <v>3.3803502350898511E-2</v>
      </c>
      <c r="F52" s="131">
        <v>80587</v>
      </c>
      <c r="G52" s="169">
        <f t="shared" si="21"/>
        <v>3775</v>
      </c>
      <c r="H52" s="157">
        <f t="shared" ref="H52:H54" si="26">G52/B52</f>
        <v>1.5126267913828724E-3</v>
      </c>
      <c r="I52" s="106">
        <v>55615</v>
      </c>
      <c r="J52" s="132">
        <v>40894</v>
      </c>
      <c r="K52" s="132">
        <v>14721</v>
      </c>
      <c r="L52" s="105">
        <f>B52/J52</f>
        <v>61.027499388663372</v>
      </c>
      <c r="M52" s="105">
        <f>B52/K52</f>
        <v>169.53050472114666</v>
      </c>
      <c r="N52" s="106">
        <f>B52/I52</f>
        <v>44.873839072192752</v>
      </c>
    </row>
    <row r="53" spans="1:14" ht="15" customHeight="1" x14ac:dyDescent="0.3">
      <c r="A53" s="134" t="s">
        <v>133</v>
      </c>
      <c r="B53" s="131">
        <v>2790636.43</v>
      </c>
      <c r="C53" s="148">
        <f t="shared" si="19"/>
        <v>0.15935047176277939</v>
      </c>
      <c r="D53" s="132">
        <v>7341.5</v>
      </c>
      <c r="E53" s="103">
        <f t="shared" si="20"/>
        <v>2.6307619011481189E-3</v>
      </c>
      <c r="F53" s="131">
        <v>71025.5</v>
      </c>
      <c r="G53" s="169">
        <f t="shared" si="21"/>
        <v>-63684</v>
      </c>
      <c r="H53" s="158">
        <f t="shared" si="26"/>
        <v>-2.2820600819003854E-2</v>
      </c>
      <c r="I53" s="132">
        <v>56857</v>
      </c>
      <c r="J53" s="132">
        <v>41761</v>
      </c>
      <c r="K53" s="132">
        <v>15095</v>
      </c>
      <c r="L53" s="105">
        <f t="shared" si="22"/>
        <v>66.823984818371216</v>
      </c>
      <c r="M53" s="105">
        <f t="shared" si="23"/>
        <v>184.87157535607818</v>
      </c>
      <c r="N53" s="106">
        <f t="shared" si="24"/>
        <v>49.081668572031589</v>
      </c>
    </row>
    <row r="54" spans="1:14" ht="15" customHeight="1" x14ac:dyDescent="0.3">
      <c r="A54" s="112" t="s">
        <v>134</v>
      </c>
      <c r="B54" s="111">
        <v>2554059.5299999998</v>
      </c>
      <c r="C54" s="148">
        <f t="shared" si="19"/>
        <v>0.27921282483441345</v>
      </c>
      <c r="D54" s="110">
        <v>85484</v>
      </c>
      <c r="E54" s="103">
        <f t="shared" si="20"/>
        <v>3.3469854165850244E-2</v>
      </c>
      <c r="F54" s="110">
        <v>101895.26</v>
      </c>
      <c r="G54" s="169">
        <f t="shared" si="21"/>
        <v>-16411.259999999995</v>
      </c>
      <c r="H54" s="157">
        <f t="shared" si="26"/>
        <v>-6.4255589218783779E-3</v>
      </c>
      <c r="I54" s="110">
        <v>47792.26</v>
      </c>
      <c r="J54" s="110">
        <v>34982.19</v>
      </c>
      <c r="K54" s="110">
        <v>12810.07</v>
      </c>
      <c r="L54" s="105">
        <f t="shared" si="22"/>
        <v>73.010281231678164</v>
      </c>
      <c r="M54" s="105">
        <f t="shared" si="23"/>
        <v>199.37904554776046</v>
      </c>
      <c r="N54" s="106">
        <f t="shared" si="24"/>
        <v>53.440861135254949</v>
      </c>
    </row>
    <row r="55" spans="1:14" ht="15" customHeight="1" x14ac:dyDescent="0.3">
      <c r="A55" s="107"/>
      <c r="B55" s="108"/>
      <c r="C55" s="108"/>
      <c r="D55" s="109"/>
      <c r="E55" s="108"/>
      <c r="F55" s="108"/>
      <c r="G55" s="108"/>
      <c r="H55" s="108"/>
      <c r="I55" s="108"/>
      <c r="J55" s="108"/>
      <c r="K55" s="108"/>
      <c r="L55" s="108"/>
      <c r="M55" s="108"/>
    </row>
    <row r="56" spans="1:14" ht="15" customHeight="1" x14ac:dyDescent="0.3">
      <c r="A56" t="s">
        <v>135</v>
      </c>
      <c r="B56" s="109">
        <f>SUM(B43:B54)</f>
        <v>28176333.439999998</v>
      </c>
      <c r="C56" s="109"/>
      <c r="D56" s="109">
        <f>SUM(D43:D54)</f>
        <v>992618.34</v>
      </c>
      <c r="E56" s="164">
        <f t="shared" ref="E56" si="27">D56/B56</f>
        <v>3.522879732076311E-2</v>
      </c>
      <c r="F56" s="108">
        <f>SUM(F43:F54)</f>
        <v>1039192.26</v>
      </c>
      <c r="G56" s="166">
        <f t="shared" ref="G56" si="28">D56-F56</f>
        <v>-46573.920000000042</v>
      </c>
      <c r="H56" s="167">
        <f t="shared" ref="H56" si="29">G56/B56</f>
        <v>-1.6529446636190876E-3</v>
      </c>
      <c r="I56" s="108">
        <f>SUM(I43:I54)</f>
        <v>591708.67999999993</v>
      </c>
      <c r="J56" s="108">
        <f>SUM(J43:J54)</f>
        <v>439431.5</v>
      </c>
      <c r="K56" s="108">
        <f>SUM(K43:K54)</f>
        <v>152270.28000000003</v>
      </c>
      <c r="L56" s="136">
        <f>AVERAGE(L43:L54)</f>
        <v>64.235343129526356</v>
      </c>
      <c r="M56" s="136">
        <f>AVERAGE(M43:M54)</f>
        <v>186.14703327823722</v>
      </c>
      <c r="N56" s="137">
        <f>AVERAGE(N43:N54)</f>
        <v>47.707858468170521</v>
      </c>
    </row>
    <row r="57" spans="1:14" ht="15" customHeight="1" x14ac:dyDescent="0.3">
      <c r="G57" s="29"/>
      <c r="H57" s="168"/>
    </row>
    <row r="60" spans="1:14" ht="15" customHeight="1" x14ac:dyDescent="0.3">
      <c r="G60">
        <v>2026</v>
      </c>
    </row>
    <row r="61" spans="1:14" ht="43.2" x14ac:dyDescent="0.3">
      <c r="A61" s="133" t="s">
        <v>109</v>
      </c>
      <c r="B61" s="126" t="s">
        <v>110</v>
      </c>
      <c r="C61" s="147" t="s">
        <v>111</v>
      </c>
      <c r="D61" s="126" t="s">
        <v>112</v>
      </c>
      <c r="E61" s="127" t="s">
        <v>136</v>
      </c>
      <c r="F61" s="127" t="s">
        <v>114</v>
      </c>
      <c r="G61" s="127" t="s">
        <v>115</v>
      </c>
      <c r="H61" s="128" t="s">
        <v>116</v>
      </c>
      <c r="I61" s="129" t="s">
        <v>117</v>
      </c>
      <c r="J61" s="129" t="s">
        <v>118</v>
      </c>
      <c r="K61" s="129" t="s">
        <v>119</v>
      </c>
      <c r="L61" s="127" t="s">
        <v>120</v>
      </c>
      <c r="M61" s="127" t="s">
        <v>121</v>
      </c>
      <c r="N61" s="130" t="s">
        <v>122</v>
      </c>
    </row>
    <row r="62" spans="1:14" ht="15" customHeight="1" x14ac:dyDescent="0.3">
      <c r="A62" s="112" t="s">
        <v>123</v>
      </c>
      <c r="B62" s="111">
        <v>2351356.7999999998</v>
      </c>
      <c r="C62" s="148">
        <f>((B62/B43)-1)</f>
        <v>5.9877374523453319E-2</v>
      </c>
      <c r="D62" s="110">
        <v>72388</v>
      </c>
      <c r="E62" s="103">
        <f t="shared" ref="E62:E73" si="30">D62/B62</f>
        <v>3.0785629811690002E-2</v>
      </c>
      <c r="F62" s="110">
        <v>62405</v>
      </c>
      <c r="G62" s="169">
        <f t="shared" ref="G62:G73" si="31">D62-F62</f>
        <v>9983</v>
      </c>
      <c r="H62" s="157">
        <f>G62/B62</f>
        <v>4.2456338400025046E-3</v>
      </c>
      <c r="I62" s="105">
        <v>50709.69</v>
      </c>
      <c r="J62" s="105">
        <v>36933.730000000003</v>
      </c>
      <c r="K62" s="105">
        <v>13775.96</v>
      </c>
      <c r="L62" s="105">
        <f t="shared" ref="L62:L70" si="32">B62/J62</f>
        <v>63.664211548630469</v>
      </c>
      <c r="M62" s="105">
        <f t="shared" ref="M62:M70" si="33">B62/K62</f>
        <v>170.68551302413769</v>
      </c>
      <c r="N62" s="106">
        <f t="shared" ref="N62:N70" si="34">B62/I62</f>
        <v>46.368983916091771</v>
      </c>
    </row>
    <row r="63" spans="1:14" ht="15" customHeight="1" x14ac:dyDescent="0.3">
      <c r="A63" s="112" t="s">
        <v>124</v>
      </c>
      <c r="B63" s="111">
        <v>2430110.17</v>
      </c>
      <c r="C63" s="148">
        <f t="shared" ref="C63:C73" si="35">((B63/B44)-1)</f>
        <v>4.912438651778972E-2</v>
      </c>
      <c r="D63" s="110">
        <v>81087.06</v>
      </c>
      <c r="E63" s="103">
        <f t="shared" si="30"/>
        <v>3.3367647689816468E-2</v>
      </c>
      <c r="F63" s="110">
        <v>79451.600000000006</v>
      </c>
      <c r="G63" s="169">
        <f t="shared" si="31"/>
        <v>1635.4599999999919</v>
      </c>
      <c r="H63" s="158">
        <f t="shared" ref="H63:H67" si="36">G63/B63</f>
        <v>6.7299829455879853E-4</v>
      </c>
      <c r="I63" s="105">
        <v>50738.879999999997</v>
      </c>
      <c r="J63" s="105">
        <v>37297.14</v>
      </c>
      <c r="K63" s="105">
        <v>13441.74</v>
      </c>
      <c r="L63" s="105">
        <f t="shared" si="32"/>
        <v>65.155402532204874</v>
      </c>
      <c r="M63" s="105">
        <f t="shared" si="33"/>
        <v>180.78836296491377</v>
      </c>
      <c r="N63" s="106">
        <f t="shared" si="34"/>
        <v>47.894438544958028</v>
      </c>
    </row>
    <row r="64" spans="1:14" ht="15" customHeight="1" x14ac:dyDescent="0.3">
      <c r="A64" s="112" t="s">
        <v>125</v>
      </c>
      <c r="B64" s="111">
        <v>1794936.02</v>
      </c>
      <c r="C64" s="148">
        <f t="shared" si="35"/>
        <v>-0.15911083487112609</v>
      </c>
      <c r="D64" s="105">
        <v>37016</v>
      </c>
      <c r="E64" s="103">
        <f t="shared" si="30"/>
        <v>2.0622462075277757E-2</v>
      </c>
      <c r="F64" s="110">
        <v>42206.400000000001</v>
      </c>
      <c r="G64" s="169">
        <f t="shared" si="31"/>
        <v>-5190.4000000000015</v>
      </c>
      <c r="H64" s="157">
        <f t="shared" si="36"/>
        <v>-2.8916908135812004E-3</v>
      </c>
      <c r="I64" s="105">
        <v>39263.21</v>
      </c>
      <c r="J64" s="105">
        <v>25886.21</v>
      </c>
      <c r="K64" s="159">
        <v>13377</v>
      </c>
      <c r="L64" s="105">
        <f t="shared" si="32"/>
        <v>69.339467616155474</v>
      </c>
      <c r="M64" s="105">
        <f t="shared" si="33"/>
        <v>134.18075951259624</v>
      </c>
      <c r="N64" s="106">
        <f t="shared" si="34"/>
        <v>45.715467991537118</v>
      </c>
    </row>
    <row r="65" spans="1:14" ht="15" customHeight="1" x14ac:dyDescent="0.3">
      <c r="A65" s="112" t="s">
        <v>126</v>
      </c>
      <c r="B65" s="111"/>
      <c r="C65" s="148">
        <f t="shared" si="35"/>
        <v>-1</v>
      </c>
      <c r="D65" s="110"/>
      <c r="E65" s="103" t="e">
        <f t="shared" si="30"/>
        <v>#DIV/0!</v>
      </c>
      <c r="F65" s="110"/>
      <c r="G65" s="169">
        <f t="shared" si="31"/>
        <v>0</v>
      </c>
      <c r="H65" s="158" t="e">
        <f t="shared" si="36"/>
        <v>#DIV/0!</v>
      </c>
      <c r="I65" s="105"/>
      <c r="J65" s="105"/>
      <c r="K65" s="105"/>
      <c r="L65" s="105" t="e">
        <f t="shared" si="32"/>
        <v>#DIV/0!</v>
      </c>
      <c r="M65" s="105" t="e">
        <f t="shared" si="33"/>
        <v>#DIV/0!</v>
      </c>
      <c r="N65" s="106" t="e">
        <f t="shared" si="34"/>
        <v>#DIV/0!</v>
      </c>
    </row>
    <row r="66" spans="1:14" ht="15" customHeight="1" x14ac:dyDescent="0.3">
      <c r="A66" s="112" t="s">
        <v>127</v>
      </c>
      <c r="B66" s="111"/>
      <c r="C66" s="148">
        <f t="shared" si="35"/>
        <v>-1</v>
      </c>
      <c r="D66" s="110"/>
      <c r="E66" s="103" t="e">
        <f t="shared" si="30"/>
        <v>#DIV/0!</v>
      </c>
      <c r="F66" s="110"/>
      <c r="G66" s="169">
        <f t="shared" si="31"/>
        <v>0</v>
      </c>
      <c r="H66" s="157" t="e">
        <f t="shared" si="36"/>
        <v>#DIV/0!</v>
      </c>
      <c r="I66" s="105"/>
      <c r="J66" s="105"/>
      <c r="K66" s="105"/>
      <c r="L66" s="105" t="e">
        <f t="shared" si="32"/>
        <v>#DIV/0!</v>
      </c>
      <c r="M66" s="105" t="e">
        <f t="shared" si="33"/>
        <v>#DIV/0!</v>
      </c>
      <c r="N66" s="106" t="e">
        <f t="shared" si="34"/>
        <v>#DIV/0!</v>
      </c>
    </row>
    <row r="67" spans="1:14" ht="15" customHeight="1" x14ac:dyDescent="0.3">
      <c r="A67" s="112" t="s">
        <v>128</v>
      </c>
      <c r="B67" s="111"/>
      <c r="C67" s="148">
        <f t="shared" si="35"/>
        <v>-1</v>
      </c>
      <c r="D67" s="110"/>
      <c r="E67" s="103" t="e">
        <f t="shared" si="30"/>
        <v>#DIV/0!</v>
      </c>
      <c r="F67" s="110"/>
      <c r="G67" s="169">
        <f t="shared" si="31"/>
        <v>0</v>
      </c>
      <c r="H67" s="158" t="e">
        <f t="shared" si="36"/>
        <v>#DIV/0!</v>
      </c>
      <c r="I67" s="105"/>
      <c r="J67" s="105"/>
      <c r="K67" s="105"/>
      <c r="L67" s="105" t="e">
        <f t="shared" si="32"/>
        <v>#DIV/0!</v>
      </c>
      <c r="M67" s="105" t="e">
        <f t="shared" si="33"/>
        <v>#DIV/0!</v>
      </c>
      <c r="N67" s="106" t="e">
        <f t="shared" si="34"/>
        <v>#DIV/0!</v>
      </c>
    </row>
    <row r="68" spans="1:14" ht="15" customHeight="1" x14ac:dyDescent="0.3">
      <c r="A68" s="112" t="s">
        <v>129</v>
      </c>
      <c r="B68" s="111"/>
      <c r="C68" s="148">
        <f t="shared" si="35"/>
        <v>-1</v>
      </c>
      <c r="D68" s="110"/>
      <c r="E68" s="103" t="e">
        <f t="shared" si="30"/>
        <v>#DIV/0!</v>
      </c>
      <c r="F68" s="110"/>
      <c r="G68" s="169">
        <f t="shared" si="31"/>
        <v>0</v>
      </c>
      <c r="H68" s="158" t="e">
        <f>G68/B68</f>
        <v>#DIV/0!</v>
      </c>
      <c r="I68" s="110"/>
      <c r="J68" s="110"/>
      <c r="K68" s="110"/>
      <c r="L68" s="105" t="e">
        <f t="shared" si="32"/>
        <v>#DIV/0!</v>
      </c>
      <c r="M68" s="105" t="e">
        <f t="shared" si="33"/>
        <v>#DIV/0!</v>
      </c>
      <c r="N68" s="106" t="e">
        <f t="shared" si="34"/>
        <v>#DIV/0!</v>
      </c>
    </row>
    <row r="69" spans="1:14" ht="15" customHeight="1" x14ac:dyDescent="0.3">
      <c r="A69" s="112" t="s">
        <v>130</v>
      </c>
      <c r="B69" s="111"/>
      <c r="C69" s="148">
        <f t="shared" si="35"/>
        <v>-1</v>
      </c>
      <c r="D69" s="110"/>
      <c r="E69" s="103" t="e">
        <f t="shared" si="30"/>
        <v>#DIV/0!</v>
      </c>
      <c r="F69" s="110"/>
      <c r="G69" s="169">
        <f t="shared" si="31"/>
        <v>0</v>
      </c>
      <c r="H69" s="157" t="e">
        <f>G69/B69</f>
        <v>#DIV/0!</v>
      </c>
      <c r="I69" s="110"/>
      <c r="J69" s="110"/>
      <c r="K69" s="110"/>
      <c r="L69" s="105" t="e">
        <f t="shared" si="32"/>
        <v>#DIV/0!</v>
      </c>
      <c r="M69" s="105" t="e">
        <f t="shared" si="33"/>
        <v>#DIV/0!</v>
      </c>
      <c r="N69" s="106" t="e">
        <f t="shared" si="34"/>
        <v>#DIV/0!</v>
      </c>
    </row>
    <row r="70" spans="1:14" ht="15" customHeight="1" x14ac:dyDescent="0.3">
      <c r="A70" s="112" t="s">
        <v>131</v>
      </c>
      <c r="B70" s="131"/>
      <c r="C70" s="148">
        <f t="shared" si="35"/>
        <v>-1</v>
      </c>
      <c r="D70" s="106"/>
      <c r="E70" s="103" t="e">
        <f t="shared" si="30"/>
        <v>#DIV/0!</v>
      </c>
      <c r="F70" s="170"/>
      <c r="G70" s="169">
        <f t="shared" si="31"/>
        <v>0</v>
      </c>
      <c r="H70" s="125" t="e">
        <f>G70/B70</f>
        <v>#DIV/0!</v>
      </c>
      <c r="I70" s="132"/>
      <c r="J70" s="106"/>
      <c r="K70" s="132"/>
      <c r="L70" s="105" t="e">
        <f t="shared" si="32"/>
        <v>#DIV/0!</v>
      </c>
      <c r="M70" s="105" t="e">
        <f t="shared" si="33"/>
        <v>#DIV/0!</v>
      </c>
      <c r="N70" s="106" t="e">
        <f t="shared" si="34"/>
        <v>#DIV/0!</v>
      </c>
    </row>
    <row r="71" spans="1:14" ht="15" customHeight="1" x14ac:dyDescent="0.3">
      <c r="A71" s="112" t="s">
        <v>132</v>
      </c>
      <c r="B71" s="131"/>
      <c r="C71" s="148">
        <f t="shared" si="35"/>
        <v>-1</v>
      </c>
      <c r="D71" s="132"/>
      <c r="E71" s="103" t="e">
        <f t="shared" si="30"/>
        <v>#DIV/0!</v>
      </c>
      <c r="F71" s="131"/>
      <c r="G71" s="169">
        <f t="shared" si="31"/>
        <v>0</v>
      </c>
      <c r="H71" s="157" t="e">
        <f t="shared" ref="H71:H73" si="37">G71/B71</f>
        <v>#DIV/0!</v>
      </c>
      <c r="I71" s="106"/>
      <c r="J71" s="132"/>
      <c r="K71" s="132"/>
      <c r="L71" s="105" t="e">
        <f>B71/J71</f>
        <v>#DIV/0!</v>
      </c>
      <c r="M71" s="105" t="e">
        <f>B71/K71</f>
        <v>#DIV/0!</v>
      </c>
      <c r="N71" s="106" t="e">
        <f>B71/I71</f>
        <v>#DIV/0!</v>
      </c>
    </row>
    <row r="72" spans="1:14" ht="15" customHeight="1" x14ac:dyDescent="0.3">
      <c r="A72" s="134" t="s">
        <v>133</v>
      </c>
      <c r="B72" s="131"/>
      <c r="C72" s="148">
        <f t="shared" si="35"/>
        <v>-1</v>
      </c>
      <c r="D72" s="132"/>
      <c r="E72" s="103" t="e">
        <f t="shared" si="30"/>
        <v>#DIV/0!</v>
      </c>
      <c r="F72" s="131"/>
      <c r="G72" s="169">
        <f t="shared" si="31"/>
        <v>0</v>
      </c>
      <c r="H72" s="158" t="e">
        <f t="shared" si="37"/>
        <v>#DIV/0!</v>
      </c>
      <c r="I72" s="132"/>
      <c r="J72" s="132"/>
      <c r="K72" s="132"/>
      <c r="L72" s="105" t="e">
        <f t="shared" ref="L72:L73" si="38">B72/J72</f>
        <v>#DIV/0!</v>
      </c>
      <c r="M72" s="105" t="e">
        <f t="shared" ref="M72:M73" si="39">B72/K72</f>
        <v>#DIV/0!</v>
      </c>
      <c r="N72" s="106" t="e">
        <f t="shared" ref="N72:N73" si="40">B72/I72</f>
        <v>#DIV/0!</v>
      </c>
    </row>
    <row r="73" spans="1:14" ht="15" customHeight="1" x14ac:dyDescent="0.3">
      <c r="A73" s="112" t="s">
        <v>134</v>
      </c>
      <c r="B73" s="111"/>
      <c r="C73" s="148">
        <f t="shared" si="35"/>
        <v>-1</v>
      </c>
      <c r="D73" s="110"/>
      <c r="E73" s="103" t="e">
        <f t="shared" si="30"/>
        <v>#DIV/0!</v>
      </c>
      <c r="F73" s="110"/>
      <c r="G73" s="169">
        <f t="shared" si="31"/>
        <v>0</v>
      </c>
      <c r="H73" s="157" t="e">
        <f t="shared" si="37"/>
        <v>#DIV/0!</v>
      </c>
      <c r="I73" s="110"/>
      <c r="J73" s="110"/>
      <c r="K73" s="110"/>
      <c r="L73" s="105" t="e">
        <f t="shared" si="38"/>
        <v>#DIV/0!</v>
      </c>
      <c r="M73" s="105" t="e">
        <f t="shared" si="39"/>
        <v>#DIV/0!</v>
      </c>
      <c r="N73" s="106" t="e">
        <f t="shared" si="40"/>
        <v>#DIV/0!</v>
      </c>
    </row>
    <row r="74" spans="1:14" ht="15" customHeight="1" x14ac:dyDescent="0.3">
      <c r="A74" s="107"/>
      <c r="B74" s="108"/>
      <c r="C74" s="108"/>
      <c r="D74" s="109"/>
      <c r="E74" s="108"/>
      <c r="F74" s="108"/>
      <c r="G74" s="108"/>
      <c r="H74" s="108"/>
      <c r="I74" s="108"/>
      <c r="J74" s="108"/>
      <c r="K74" s="108"/>
      <c r="L74" s="108"/>
      <c r="M74" s="108"/>
    </row>
    <row r="75" spans="1:14" ht="15" customHeight="1" x14ac:dyDescent="0.3">
      <c r="A75" t="s">
        <v>135</v>
      </c>
      <c r="B75" s="109">
        <f>SUM(B62:B73)</f>
        <v>6576402.9900000002</v>
      </c>
      <c r="C75" s="109"/>
      <c r="D75" s="109">
        <f>SUM(D62:D73)</f>
        <v>190491.06</v>
      </c>
      <c r="E75" s="164">
        <f t="shared" ref="E75" si="41">D75/B75</f>
        <v>2.8965843530218333E-2</v>
      </c>
      <c r="F75" s="108">
        <f>SUM(F62:F73)</f>
        <v>184063</v>
      </c>
      <c r="G75" s="166">
        <f t="shared" ref="G75" si="42">D75-F75</f>
        <v>6428.0599999999977</v>
      </c>
      <c r="H75" s="167">
        <f t="shared" ref="H75" si="43">G75/B75</f>
        <v>9.7744314175612847E-4</v>
      </c>
      <c r="I75" s="108">
        <f>SUM(I62:I73)</f>
        <v>140711.78</v>
      </c>
      <c r="J75" s="108">
        <f>SUM(J62:J73)</f>
        <v>100117.07999999999</v>
      </c>
      <c r="K75" s="108">
        <f>SUM(K62:K73)</f>
        <v>40594.699999999997</v>
      </c>
      <c r="L75" s="136" t="e">
        <f>AVERAGE(L62:L73)</f>
        <v>#DIV/0!</v>
      </c>
      <c r="M75" s="136" t="e">
        <f>AVERAGE(M62:M73)</f>
        <v>#DIV/0!</v>
      </c>
      <c r="N75" s="137" t="e">
        <f>AVERAGE(N62:N73)</f>
        <v>#DIV/0!</v>
      </c>
    </row>
  </sheetData>
  <mergeCells count="3">
    <mergeCell ref="A21:N21"/>
    <mergeCell ref="A1:N1"/>
    <mergeCell ref="A41:N41"/>
  </mergeCells>
  <conditionalFormatting sqref="G43:G5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62:G7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EA90-5669-47D2-8C16-22CE6007A432}">
  <dimension ref="A1:R17"/>
  <sheetViews>
    <sheetView zoomScale="70" zoomScaleNormal="70" workbookViewId="0">
      <selection activeCell="D44" sqref="D44"/>
    </sheetView>
  </sheetViews>
  <sheetFormatPr defaultRowHeight="15" customHeight="1" x14ac:dyDescent="0.3"/>
  <cols>
    <col min="1" max="1" width="18.44140625" bestFit="1" customWidth="1"/>
    <col min="3" max="4" width="17.5546875" customWidth="1"/>
    <col min="5" max="5" width="14.44140625" customWidth="1"/>
    <col min="6" max="14" width="11" customWidth="1"/>
    <col min="15" max="15" width="12.5546875" bestFit="1" customWidth="1"/>
    <col min="17" max="17" width="20.44140625" bestFit="1" customWidth="1"/>
    <col min="18" max="18" width="15.88671875" customWidth="1"/>
    <col min="19" max="19" width="14.109375" customWidth="1"/>
  </cols>
  <sheetData>
    <row r="1" spans="1:18" ht="21" x14ac:dyDescent="0.4">
      <c r="A1" s="230">
        <v>2023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spans="1:18" ht="78" x14ac:dyDescent="0.3">
      <c r="A2" s="3" t="s">
        <v>0</v>
      </c>
      <c r="B2" s="4" t="s">
        <v>137</v>
      </c>
      <c r="C2" s="4" t="s">
        <v>138</v>
      </c>
      <c r="D2" s="44" t="s">
        <v>139</v>
      </c>
      <c r="E2" s="4" t="s">
        <v>140</v>
      </c>
      <c r="F2" s="44" t="s">
        <v>141</v>
      </c>
      <c r="G2" s="44" t="s">
        <v>142</v>
      </c>
      <c r="H2" s="44" t="s">
        <v>143</v>
      </c>
      <c r="I2" s="44" t="s">
        <v>144</v>
      </c>
      <c r="J2" s="44" t="s">
        <v>145</v>
      </c>
      <c r="K2" s="44" t="s">
        <v>146</v>
      </c>
      <c r="L2" s="44" t="s">
        <v>147</v>
      </c>
      <c r="M2" s="50" t="s">
        <v>148</v>
      </c>
      <c r="N2" s="44" t="s">
        <v>149</v>
      </c>
      <c r="O2" s="4" t="s">
        <v>150</v>
      </c>
      <c r="Q2" s="32" t="s">
        <v>151</v>
      </c>
      <c r="R2" s="48" t="s">
        <v>152</v>
      </c>
    </row>
    <row r="3" spans="1:18" ht="14.4" x14ac:dyDescent="0.3">
      <c r="A3" s="1" t="s">
        <v>5</v>
      </c>
      <c r="B3" s="1"/>
      <c r="C3" s="46">
        <v>2018215.93</v>
      </c>
      <c r="D3" s="30"/>
      <c r="E3" s="49">
        <v>61667</v>
      </c>
      <c r="F3" s="30"/>
      <c r="G3" s="43">
        <f>E3/C3</f>
        <v>3.0555204268950548E-2</v>
      </c>
      <c r="H3" s="43"/>
      <c r="I3" s="43"/>
      <c r="J3" s="43"/>
      <c r="K3" s="43"/>
      <c r="L3" s="43"/>
      <c r="M3" s="51"/>
      <c r="N3" s="43"/>
      <c r="O3" s="1"/>
      <c r="Q3" s="18">
        <v>17445.2</v>
      </c>
      <c r="R3" s="18">
        <f>Q3*R$17/C3</f>
        <v>8643.8719171144385</v>
      </c>
    </row>
    <row r="4" spans="1:18" ht="14.4" x14ac:dyDescent="0.3">
      <c r="A4" s="1" t="s">
        <v>7</v>
      </c>
      <c r="B4" s="1"/>
      <c r="C4" s="46">
        <v>1866585.54</v>
      </c>
      <c r="D4" s="30"/>
      <c r="E4" s="49">
        <v>77573</v>
      </c>
      <c r="F4" s="30"/>
      <c r="G4" s="43">
        <f t="shared" ref="G4:G14" si="0">E4/C4</f>
        <v>4.1558770459563292E-2</v>
      </c>
      <c r="H4" s="43"/>
      <c r="I4" s="43"/>
      <c r="J4" s="43"/>
      <c r="K4" s="43"/>
      <c r="L4" s="43"/>
      <c r="M4" s="51"/>
      <c r="N4" s="43"/>
      <c r="O4" s="1"/>
      <c r="Q4" s="18">
        <v>14952.64</v>
      </c>
      <c r="R4" s="18">
        <f t="shared" ref="R4:R14" si="1">Q4*R$17/C4</f>
        <v>8010.6910074959651</v>
      </c>
    </row>
    <row r="5" spans="1:18" ht="14.4" x14ac:dyDescent="0.3">
      <c r="A5" s="1" t="s">
        <v>9</v>
      </c>
      <c r="B5" s="1"/>
      <c r="C5" s="46">
        <v>2259221.69</v>
      </c>
      <c r="D5" s="30"/>
      <c r="E5" s="49">
        <v>74561</v>
      </c>
      <c r="F5" s="30"/>
      <c r="G5" s="43">
        <f t="shared" si="0"/>
        <v>3.3002958642805877E-2</v>
      </c>
      <c r="H5" s="43"/>
      <c r="I5" s="43"/>
      <c r="J5" s="43"/>
      <c r="K5" s="43"/>
      <c r="L5" s="43"/>
      <c r="M5" s="51"/>
      <c r="N5" s="43"/>
      <c r="O5" s="1"/>
      <c r="Q5" s="18">
        <v>18314.75</v>
      </c>
      <c r="R5" s="18">
        <f t="shared" si="1"/>
        <v>8106.6634943647341</v>
      </c>
    </row>
    <row r="6" spans="1:18" ht="14.4" x14ac:dyDescent="0.3">
      <c r="A6" s="1" t="s">
        <v>11</v>
      </c>
      <c r="B6" s="1"/>
      <c r="C6" s="46">
        <v>1773321.97</v>
      </c>
      <c r="D6" s="30"/>
      <c r="E6" s="49">
        <v>64487</v>
      </c>
      <c r="F6" s="30"/>
      <c r="G6" s="43">
        <f t="shared" si="0"/>
        <v>3.6365082647681853E-2</v>
      </c>
      <c r="H6" s="43"/>
      <c r="I6" s="43"/>
      <c r="J6" s="43"/>
      <c r="K6" s="43"/>
      <c r="L6" s="43"/>
      <c r="M6" s="51"/>
      <c r="N6" s="43"/>
      <c r="O6" s="1"/>
      <c r="Q6" s="18">
        <v>13417.4</v>
      </c>
      <c r="R6" s="18">
        <f t="shared" si="1"/>
        <v>7566.2514912619054</v>
      </c>
    </row>
    <row r="7" spans="1:18" ht="14.4" x14ac:dyDescent="0.3">
      <c r="A7" s="2" t="s">
        <v>13</v>
      </c>
      <c r="B7" s="1"/>
      <c r="C7" s="46">
        <v>2433070.9</v>
      </c>
      <c r="D7" s="30"/>
      <c r="E7" s="49">
        <v>98713.5</v>
      </c>
      <c r="F7" s="30"/>
      <c r="G7" s="43">
        <f t="shared" si="0"/>
        <v>4.0571567396576892E-2</v>
      </c>
      <c r="H7" s="43"/>
      <c r="I7" s="43"/>
      <c r="J7" s="43"/>
      <c r="K7" s="43"/>
      <c r="L7" s="43"/>
      <c r="M7" s="51"/>
      <c r="N7" s="43"/>
      <c r="O7" s="1"/>
      <c r="Q7" s="18">
        <v>18415.830000000002</v>
      </c>
      <c r="R7" s="18">
        <f t="shared" si="1"/>
        <v>7568.9656228266922</v>
      </c>
    </row>
    <row r="8" spans="1:18" ht="14.4" x14ac:dyDescent="0.3">
      <c r="A8" s="1" t="s">
        <v>15</v>
      </c>
      <c r="B8" s="1"/>
      <c r="C8" s="46">
        <v>2198342.63</v>
      </c>
      <c r="D8" s="30"/>
      <c r="E8" s="49">
        <v>75480</v>
      </c>
      <c r="F8" s="30"/>
      <c r="G8" s="43">
        <f t="shared" si="0"/>
        <v>3.4334957149059153E-2</v>
      </c>
      <c r="H8" s="43"/>
      <c r="I8" s="43"/>
      <c r="J8" s="43"/>
      <c r="K8" s="43"/>
      <c r="L8" s="43"/>
      <c r="M8" s="51"/>
      <c r="N8" s="43"/>
      <c r="O8" s="1"/>
      <c r="Q8" s="18">
        <v>18668.07</v>
      </c>
      <c r="R8" s="18">
        <f t="shared" si="1"/>
        <v>8491.8837242400205</v>
      </c>
    </row>
    <row r="9" spans="1:18" ht="14.4" x14ac:dyDescent="0.3">
      <c r="A9" s="1" t="s">
        <v>17</v>
      </c>
      <c r="B9" s="1"/>
      <c r="C9" s="46">
        <v>1399591.44</v>
      </c>
      <c r="D9" s="30"/>
      <c r="E9" s="49">
        <v>16739</v>
      </c>
      <c r="F9" s="30"/>
      <c r="G9" s="43">
        <f t="shared" si="0"/>
        <v>1.1959918817451471E-2</v>
      </c>
      <c r="H9" s="43"/>
      <c r="I9" s="43"/>
      <c r="J9" s="43"/>
      <c r="K9" s="43"/>
      <c r="L9" s="43"/>
      <c r="M9" s="51"/>
      <c r="N9" s="43"/>
      <c r="O9" s="1"/>
      <c r="Q9" s="18">
        <v>13909.42</v>
      </c>
      <c r="R9" s="18">
        <f t="shared" si="1"/>
        <v>9938.2002507817579</v>
      </c>
    </row>
    <row r="10" spans="1:18" ht="14.4" x14ac:dyDescent="0.3">
      <c r="A10" s="2" t="s">
        <v>19</v>
      </c>
      <c r="B10" s="1"/>
      <c r="C10" s="46">
        <v>1773402.79</v>
      </c>
      <c r="D10" s="30"/>
      <c r="E10" s="49">
        <v>19226</v>
      </c>
      <c r="F10" s="30"/>
      <c r="G10" s="43">
        <f t="shared" si="0"/>
        <v>1.0841304698748106E-2</v>
      </c>
      <c r="H10" s="43"/>
      <c r="I10" s="43"/>
      <c r="J10" s="43"/>
      <c r="K10" s="43"/>
      <c r="L10" s="43"/>
      <c r="M10" s="51"/>
      <c r="N10" s="43"/>
      <c r="O10" s="1"/>
      <c r="Q10" s="18">
        <v>15177.6</v>
      </c>
      <c r="R10" s="18">
        <f t="shared" si="1"/>
        <v>8558.4617806990136</v>
      </c>
    </row>
    <row r="11" spans="1:18" ht="14.4" x14ac:dyDescent="0.3">
      <c r="A11" s="1" t="s">
        <v>21</v>
      </c>
      <c r="B11" s="1"/>
      <c r="C11" s="46">
        <v>2213197.21</v>
      </c>
      <c r="D11" s="30"/>
      <c r="E11" s="49">
        <v>50436</v>
      </c>
      <c r="F11" s="30"/>
      <c r="G11" s="43">
        <f t="shared" si="0"/>
        <v>2.2788750940093586E-2</v>
      </c>
      <c r="H11" s="30"/>
      <c r="I11" s="30"/>
      <c r="J11" s="30"/>
      <c r="K11" s="30"/>
      <c r="L11" s="30"/>
      <c r="M11" s="52"/>
      <c r="N11" s="30"/>
      <c r="O11" s="1"/>
      <c r="Q11" s="18">
        <v>18029.900000000001</v>
      </c>
      <c r="R11" s="18">
        <f t="shared" si="1"/>
        <v>8146.5401811165302</v>
      </c>
    </row>
    <row r="12" spans="1:18" ht="14.4" x14ac:dyDescent="0.3">
      <c r="A12" s="1" t="s">
        <v>23</v>
      </c>
      <c r="B12" s="1"/>
      <c r="C12" s="46">
        <v>2176959.46</v>
      </c>
      <c r="D12" s="31"/>
      <c r="E12" s="49">
        <v>68054</v>
      </c>
      <c r="F12" s="30"/>
      <c r="G12" s="43">
        <f t="shared" si="0"/>
        <v>3.1261032302365432E-2</v>
      </c>
      <c r="H12" s="30"/>
      <c r="I12" s="30"/>
      <c r="J12" s="30"/>
      <c r="K12" s="30"/>
      <c r="L12" s="30"/>
      <c r="M12" s="52"/>
      <c r="N12" s="30"/>
      <c r="O12" s="1"/>
      <c r="Q12" s="18">
        <v>17975.02</v>
      </c>
      <c r="R12" s="18">
        <f t="shared" si="1"/>
        <v>8256.9383262653864</v>
      </c>
    </row>
    <row r="13" spans="1:18" ht="14.4" x14ac:dyDescent="0.3">
      <c r="A13" s="1" t="s">
        <v>25</v>
      </c>
      <c r="B13" s="1"/>
      <c r="C13" s="46">
        <v>2103888.5</v>
      </c>
      <c r="D13" s="31"/>
      <c r="E13" s="49">
        <v>76849</v>
      </c>
      <c r="F13" s="1"/>
      <c r="G13" s="43">
        <f t="shared" si="0"/>
        <v>3.6527125843408524E-2</v>
      </c>
      <c r="H13" s="1"/>
      <c r="I13" s="1"/>
      <c r="J13" s="1"/>
      <c r="K13" s="1"/>
      <c r="L13" s="1"/>
      <c r="M13" s="53"/>
      <c r="N13" s="1"/>
      <c r="O13" s="1"/>
      <c r="Q13" s="18">
        <v>18695.099999999999</v>
      </c>
      <c r="R13" s="18">
        <f t="shared" si="1"/>
        <v>8885.9747082604426</v>
      </c>
    </row>
    <row r="14" spans="1:18" ht="14.4" x14ac:dyDescent="0.3">
      <c r="A14" s="1" t="s">
        <v>28</v>
      </c>
      <c r="B14" s="1"/>
      <c r="C14" s="46">
        <v>1903760.72</v>
      </c>
      <c r="D14" s="31"/>
      <c r="E14" s="49">
        <v>63717</v>
      </c>
      <c r="F14" s="1"/>
      <c r="G14" s="43">
        <f t="shared" si="0"/>
        <v>3.346901705168074E-2</v>
      </c>
      <c r="H14" s="1"/>
      <c r="I14" s="1"/>
      <c r="J14" s="1"/>
      <c r="K14" s="1"/>
      <c r="L14" s="1"/>
      <c r="M14" s="53"/>
      <c r="N14" s="1"/>
      <c r="O14" s="1"/>
      <c r="Q14" s="18">
        <v>17004.77</v>
      </c>
      <c r="R14" s="18">
        <f t="shared" si="1"/>
        <v>8932.1992104133769</v>
      </c>
    </row>
    <row r="15" spans="1:18" ht="30" customHeight="1" x14ac:dyDescent="0.3">
      <c r="A15" t="s">
        <v>153</v>
      </c>
      <c r="C15" s="29">
        <f>SUM(C3:C14)</f>
        <v>24119558.780000001</v>
      </c>
      <c r="E15" s="29">
        <f>SUM(E3:E14)</f>
        <v>747502.5</v>
      </c>
      <c r="G15" s="47">
        <f>SUM(G3:G14)/12</f>
        <v>3.0269640851532123E-2</v>
      </c>
      <c r="Q15" s="18">
        <f>SUM(Q3:Q14)/12</f>
        <v>16833.808333333334</v>
      </c>
    </row>
    <row r="16" spans="1:18" ht="15" customHeight="1" x14ac:dyDescent="0.3">
      <c r="A16" t="s">
        <v>154</v>
      </c>
      <c r="C16" s="29">
        <f>SUM(C3:C14)/12</f>
        <v>2009963.2316666667</v>
      </c>
      <c r="D16" s="29"/>
      <c r="E16" s="29">
        <f>SUM(E3:E14)/12</f>
        <v>62291.875</v>
      </c>
      <c r="F16" s="29"/>
      <c r="G16" s="47">
        <f>SUM(G3:G14)/12</f>
        <v>3.0269640851532123E-2</v>
      </c>
    </row>
    <row r="17" spans="18:18" ht="15" customHeight="1" x14ac:dyDescent="0.3">
      <c r="R17">
        <v>1000000</v>
      </c>
    </row>
  </sheetData>
  <mergeCells count="1">
    <mergeCell ref="A1:O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E9C530C63242F478F4F0B5C2039003E" ma:contentTypeVersion="31" ma:contentTypeDescription="Δημιουργία νέου εγγράφου" ma:contentTypeScope="" ma:versionID="d7ce2444e42624b2a71aebdd0223b61e">
  <xsd:schema xmlns:xsd="http://www.w3.org/2001/XMLSchema" xmlns:xs="http://www.w3.org/2001/XMLSchema" xmlns:p="http://schemas.microsoft.com/office/2006/metadata/properties" xmlns:ns2="ec7ef8b9-9a63-4951-98c1-739e8e7b1732" xmlns:ns3="de4f954f-b2c7-46e8-a950-fcec4d8e26ac" targetNamespace="http://schemas.microsoft.com/office/2006/metadata/properties" ma:root="true" ma:fieldsID="dc0d320940f468f6ab2af2669ff692a2" ns2:_="" ns3:_="">
    <xsd:import namespace="ec7ef8b9-9a63-4951-98c1-739e8e7b1732"/>
    <xsd:import namespace="de4f954f-b2c7-46e8-a950-fcec4d8e26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_Flow_SignoffStatu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_x03a0__x03c1__x03bf__x03bc__x03b7__x03b8__x03b5__x03c5__x03c4__x03ae__x03c2_" minOccurs="0"/>
                <xsd:element ref="ns3:MediaServiceBillingMetadata" minOccurs="0"/>
                <xsd:element ref="ns3:CheckAI" minOccurs="0"/>
                <xsd:element ref="ns3:Corrup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ef8b9-9a63-4951-98c1-739e8e7b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a824711-40b7-4d81-b109-51561c3b6b90}" ma:internalName="TaxCatchAll" ma:showField="CatchAllData" ma:web="ec7ef8b9-9a63-4951-98c1-739e8e7b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f954f-b2c7-46e8-a950-fcec4d8e2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Κατάσταση" ma:internalName="_x039a__x03b1__x03c4__x03ac__x03c3__x03c4__x03b1__x03c3__x03b7_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265ecd70-f195-4991-aea8-2ed12a1c3f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3a0__x03c1__x03bf__x03bc__x03b7__x03b8__x03b5__x03c5__x03c4__x03ae__x03c2_" ma:index="27" nillable="true" ma:displayName="Προμηθευτής" ma:format="Dropdown" ma:internalName="_x03a0__x03c1__x03bf__x03bc__x03b7__x03b8__x03b5__x03c5__x03c4__x03ae__x03c2_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CheckAI" ma:index="29" nillable="true" ma:displayName="CheckAI" ma:default="0" ma:format="Dropdown" ma:internalName="CheckAI">
      <xsd:simpleType>
        <xsd:restriction base="dms:Boolean"/>
      </xsd:simpleType>
    </xsd:element>
    <xsd:element name="Corrupted" ma:index="30" nillable="true" ma:displayName="Corrupted" ma:default="0" ma:format="Dropdown" ma:internalName="Corrup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7ef8b9-9a63-4951-98c1-739e8e7b1732" xsi:nil="true"/>
    <_x03a0__x03c1__x03bf__x03bc__x03b7__x03b8__x03b5__x03c5__x03c4__x03ae__x03c2_ xmlns="de4f954f-b2c7-46e8-a950-fcec4d8e26ac" xsi:nil="true"/>
    <_Flow_SignoffStatus xmlns="de4f954f-b2c7-46e8-a950-fcec4d8e26ac" xsi:nil="true"/>
    <lcf76f155ced4ddcb4097134ff3c332f xmlns="de4f954f-b2c7-46e8-a950-fcec4d8e26ac">
      <Terms xmlns="http://schemas.microsoft.com/office/infopath/2007/PartnerControls"/>
    </lcf76f155ced4ddcb4097134ff3c332f>
    <CheckAI xmlns="de4f954f-b2c7-46e8-a950-fcec4d8e26ac">false</CheckAI>
    <Corrupted xmlns="de4f954f-b2c7-46e8-a950-fcec4d8e26ac">false</Corrupted>
  </documentManagement>
</p:properties>
</file>

<file path=customXml/itemProps1.xml><?xml version="1.0" encoding="utf-8"?>
<ds:datastoreItem xmlns:ds="http://schemas.openxmlformats.org/officeDocument/2006/customXml" ds:itemID="{AEA02DC8-A974-4197-ABC6-FEA698A418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32CBF5-72C5-4E35-B323-60466735A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7ef8b9-9a63-4951-98c1-739e8e7b1732"/>
    <ds:schemaRef ds:uri="de4f954f-b2c7-46e8-a950-fcec4d8e2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6F53A3-2908-4D6F-892A-07B8FBB748F2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de4f954f-b2c7-46e8-a950-fcec4d8e26ac"/>
    <ds:schemaRef ds:uri="ec7ef8b9-9a63-4951-98c1-739e8e7b173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ΑΣΦΑΛΕΙΑ ΕΡΓΑΖΟΜΕΝΩΝ </vt:lpstr>
      <vt:lpstr>ΠΟΙΟΤΗΤΑ ΠΡΟΪΟΝΤΩΝ</vt:lpstr>
      <vt:lpstr>ΚΑΘΑΡΙΟΤΗΤΕΣ</vt:lpstr>
      <vt:lpstr>ΠΑΡΑΓΩΓΙΚΟΤΗΤΑ V.2</vt:lpstr>
      <vt:lpstr>ΠΑΡΑΓΩΓΙΚΟΤΗΤΑ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Katerina Koliotsidou</dc:creator>
  <cp:keywords/>
  <dc:description/>
  <cp:lastModifiedBy>Thomas Dimopoulos</cp:lastModifiedBy>
  <cp:revision/>
  <dcterms:created xsi:type="dcterms:W3CDTF">2023-10-31T11:52:35Z</dcterms:created>
  <dcterms:modified xsi:type="dcterms:W3CDTF">2026-06-11T10:04:33Z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0x0101004E9C530C63242F478F4F0B5C2039003E</vt:lpwstr>
  </property>
  <property fmtid="{D5CDD505-2E9C-101B-9397-08002B2CF9AE}" pid="3" name="MediaServiceImageTags">
    <vt:lpwstr/>
  </property>
  <property fmtid="{D5CDD505-2E9C-101B-9397-08002B2CF9AE}" pid="4" name="sendwithemail?">
    <vt:bool>true</vt:bool>
  </property>
</Properties>
</file>